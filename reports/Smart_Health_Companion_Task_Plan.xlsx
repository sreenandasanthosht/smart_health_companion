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sk Tracker" sheetId="2" state="visible" r:id="rId2"/>
  </sheets>
  <definedNames>
    <definedName name="_xlnm._FilterDatabase" localSheetId="1" hidden="1">'Task Tracker'!$A$1:$H$71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1F3864"/>
      <sz val="14"/>
    </font>
    <font>
      <name val="Arial"/>
      <charset val="1"/>
      <i val="1"/>
      <color rgb="FF595959"/>
      <sz val="10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color rgb="FF1F3864"/>
      <sz val="11"/>
    </font>
    <font>
      <name val="Arial"/>
      <charset val="1"/>
      <color rgb="FF595959"/>
      <sz val="9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zoomScaleNormal="100" workbookViewId="0">
      <selection activeCell="A1" sqref="A1"/>
    </sheetView>
  </sheetViews>
  <sheetFormatPr baseColWidth="8" defaultColWidth="8.6640625" defaultRowHeight="14.4"/>
  <cols>
    <col width="30" customWidth="1" min="1" max="1"/>
    <col width="12" customWidth="1" min="2" max="2"/>
  </cols>
  <sheetData>
    <row r="1" ht="17.4" customHeight="1">
      <c r="A1" s="1" t="inlineStr">
        <is>
          <t>Smart Health Companion — Post-Review Build Plan</t>
        </is>
      </c>
    </row>
    <row r="2">
      <c r="A2" s="2" t="inlineStr">
        <is>
          <t>Owner split (Frontend member vs Backend member); 'Both' = collaborate</t>
        </is>
      </c>
    </row>
    <row r="4">
      <c r="A4" s="3" t="inlineStr">
        <is>
          <t>Tasks by Owner</t>
        </is>
      </c>
      <c r="B4" s="3" t="inlineStr">
        <is>
          <t>Count</t>
        </is>
      </c>
    </row>
    <row r="5">
      <c r="A5" s="4" t="inlineStr">
        <is>
          <t>Backend member</t>
        </is>
      </c>
      <c r="B5" s="5">
        <f>COUNTIF('Task Tracker'!D2:D71,"Backend")</f>
        <v/>
      </c>
    </row>
    <row r="6">
      <c r="A6" s="4" t="inlineStr">
        <is>
          <t>Frontend member</t>
        </is>
      </c>
      <c r="B6" s="5">
        <f>COUNTIF('Task Tracker'!D2:D71,"Frontend")</f>
        <v/>
      </c>
    </row>
    <row r="7">
      <c r="A7" s="4" t="inlineStr">
        <is>
          <t>Both (shared)</t>
        </is>
      </c>
      <c r="B7" s="5">
        <f>COUNTIF('Task Tracker'!D2:D71,"Both")</f>
        <v/>
      </c>
    </row>
    <row r="8">
      <c r="A8" s="4" t="inlineStr">
        <is>
          <t>Total tasks</t>
        </is>
      </c>
      <c r="B8" s="5">
        <f>COUNTA('Task Tracker'!B2:B71)</f>
        <v/>
      </c>
    </row>
    <row r="10">
      <c r="A10" s="3" t="inlineStr">
        <is>
          <t>Progress by Status</t>
        </is>
      </c>
      <c r="B10" s="3" t="inlineStr">
        <is>
          <t>Count</t>
        </is>
      </c>
    </row>
    <row r="11">
      <c r="A11" s="4" t="inlineStr">
        <is>
          <t>Not started</t>
        </is>
      </c>
      <c r="B11" s="5">
        <f>COUNTIF('Task Tracker'!G2:G71,"Not started")</f>
        <v/>
      </c>
    </row>
    <row r="12">
      <c r="A12" s="4" t="inlineStr">
        <is>
          <t>In progress</t>
        </is>
      </c>
      <c r="B12" s="5">
        <f>COUNTIF('Task Tracker'!G2:G71,"In progress")</f>
        <v/>
      </c>
    </row>
    <row r="13">
      <c r="A13" s="4" t="inlineStr">
        <is>
          <t>Done</t>
        </is>
      </c>
      <c r="B13" s="5">
        <f>COUNTIF('Task Tracker'!G2:G71,"Done")</f>
        <v/>
      </c>
    </row>
    <row r="14">
      <c r="A14" s="4" t="inlineStr">
        <is>
          <t>Blocked</t>
        </is>
      </c>
      <c r="B14" s="5">
        <f>COUNTIF('Task Tracker'!G2:G71,"Blocked")</f>
        <v/>
      </c>
    </row>
    <row r="15">
      <c r="A15" s="4" t="inlineStr">
        <is>
          <t>% Complete</t>
        </is>
      </c>
      <c r="B15" s="6">
        <f>IFERROR(COUNTIF('Task Tracker'!G2:G71,"Done")/COUNTA('Task Tracker'!B2:B71),0)</f>
        <v/>
      </c>
    </row>
    <row r="17">
      <c r="A17" s="7" t="inlineStr">
        <is>
          <t>Note on balance</t>
        </is>
      </c>
    </row>
    <row r="18">
      <c r="A18" s="8" t="inlineStr">
        <is>
          <t>Split follows a full-stack division: Backend member owns models, business logic, the extraction/consent engines, and the</t>
        </is>
      </c>
    </row>
    <row r="19">
      <c r="A19" s="8" t="inlineStr">
        <is>
          <t>data-science models; Frontend member owns all five role dashboards, forms, charts, the consent-popup UX, diagrams, and the deck.</t>
        </is>
      </c>
    </row>
    <row r="20">
      <c r="A20" s="8" t="inlineStr">
        <is>
          <t>Backend has a few more discrete rows because the DS models sit there, but each Frontend UI task (role dashboards, responsive,</t>
        </is>
      </c>
    </row>
    <row r="21">
      <c r="A21" s="8" t="inlineStr">
        <is>
          <t>accessibility) is individually larger — so effort is balanced. Swap any row's Owner via the dropdown to rebalance.</t>
        </is>
      </c>
    </row>
    <row r="22">
      <c r="A22" s="8" t="inlineStr">
        <is>
          <t>Legend: Effort S/M/L = small/medium/large. Status dropdown drives the % Complete above.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tabSelected="1" zoomScaleNormal="100" workbookViewId="0">
      <pane ySplit="1" topLeftCell="A3" activePane="bottomLeft" state="frozen"/>
      <selection pane="bottomLeft" activeCell="G15" sqref="G15"/>
    </sheetView>
  </sheetViews>
  <sheetFormatPr baseColWidth="8" defaultColWidth="8.6640625" defaultRowHeight="14.4"/>
  <cols>
    <col width="22" customWidth="1" min="1" max="1"/>
    <col width="6" customWidth="1" min="2" max="2"/>
    <col width="58" customWidth="1" min="3" max="3"/>
    <col width="11" customWidth="1" min="4" max="4"/>
    <col width="7" customWidth="1" min="5" max="5"/>
    <col width="16" customWidth="1" min="6" max="6"/>
    <col width="13" customWidth="1" min="7" max="7"/>
    <col width="40" customWidth="1" min="8" max="8"/>
  </cols>
  <sheetData>
    <row r="1">
      <c r="A1" s="9" t="inlineStr">
        <is>
          <t>Phase</t>
        </is>
      </c>
      <c r="B1" s="9" t="inlineStr">
        <is>
          <t>ID</t>
        </is>
      </c>
      <c r="C1" s="9" t="inlineStr">
        <is>
          <t>Task</t>
        </is>
      </c>
      <c r="D1" s="9" t="inlineStr">
        <is>
          <t>Owner</t>
        </is>
      </c>
      <c r="E1" s="9" t="inlineStr">
        <is>
          <t>Effort</t>
        </is>
      </c>
      <c r="F1" s="9" t="inlineStr">
        <is>
          <t>Depends On</t>
        </is>
      </c>
      <c r="G1" s="9" t="inlineStr">
        <is>
          <t>Status</t>
        </is>
      </c>
      <c r="H1" s="9" t="inlineStr">
        <is>
          <t>Notes</t>
        </is>
      </c>
    </row>
    <row r="2" ht="26.4" customHeight="1">
      <c r="A2" s="10" t="inlineStr">
        <is>
          <t>1 — Lock Scope &amp; Docs</t>
        </is>
      </c>
      <c r="B2" s="11" t="inlineStr">
        <is>
          <t>1.1</t>
        </is>
      </c>
      <c r="C2" s="10" t="inlineStr">
        <is>
          <t>Record scope redefinition in project diary (DDI dropped, process-and-discard, consent-everywhere, new users, nursing added)</t>
        </is>
      </c>
      <c r="D2" s="12" t="inlineStr">
        <is>
          <t>Both</t>
        </is>
      </c>
      <c r="E2" s="11" t="inlineStr">
        <is>
          <t>S</t>
        </is>
      </c>
      <c r="F2" s="10" t="inlineStr">
        <is>
          <t>—</t>
        </is>
      </c>
      <c r="G2" s="10" t="inlineStr">
        <is>
          <t>Done</t>
        </is>
      </c>
      <c r="H2" s="10" t="inlineStr">
        <is>
          <t>The 'why we changed' record after review feedback</t>
        </is>
      </c>
    </row>
    <row r="3" ht="26.4" customHeight="1">
      <c r="A3" s="10" t="inlineStr">
        <is>
          <t>1 — Lock Scope &amp; Docs</t>
        </is>
      </c>
      <c r="B3" s="11" t="inlineStr">
        <is>
          <t>1.2</t>
        </is>
      </c>
      <c r="C3" s="10" t="inlineStr">
        <is>
          <t>Rewrite problem statement, objectives &amp; business problems (remove DDI BP3; add 2 provider-side BPs)</t>
        </is>
      </c>
      <c r="D3" s="13" t="inlineStr">
        <is>
          <t>Both</t>
        </is>
      </c>
      <c r="E3" s="11" t="inlineStr">
        <is>
          <t>M</t>
        </is>
      </c>
      <c r="F3" s="10" t="inlineStr">
        <is>
          <t>1.1</t>
        </is>
      </c>
      <c r="G3" s="10" t="inlineStr">
        <is>
          <t>Done</t>
        </is>
      </c>
      <c r="H3" s="10" t="inlineStr">
        <is>
          <t>Blocks the redesign</t>
        </is>
      </c>
    </row>
    <row r="4" ht="26.4" customHeight="1">
      <c r="A4" s="10" t="inlineStr">
        <is>
          <t>1 — Lock Scope &amp; Docs</t>
        </is>
      </c>
      <c r="B4" s="11" t="inlineStr">
        <is>
          <t>1.3</t>
        </is>
      </c>
      <c r="C4" s="10" t="inlineStr">
        <is>
          <t>Finalize value proposition &amp; target-user definition (continuity-of-care companion; chronic/elderly + caregiver/nurse)</t>
        </is>
      </c>
      <c r="D4" s="12" t="inlineStr">
        <is>
          <t>Both</t>
        </is>
      </c>
      <c r="E4" s="11" t="inlineStr">
        <is>
          <t>S</t>
        </is>
      </c>
      <c r="F4" s="10" t="inlineStr">
        <is>
          <t>1.1</t>
        </is>
      </c>
      <c r="G4" s="10" t="inlineStr">
        <is>
          <t>Done</t>
        </is>
      </c>
      <c r="H4" s="10" t="inlineStr">
        <is>
          <t>Answers the 'why the app if they have a doctor' question</t>
        </is>
      </c>
    </row>
    <row r="5">
      <c r="A5" s="10" t="inlineStr">
        <is>
          <t>1 — Lock Scope &amp; Docs</t>
        </is>
      </c>
      <c r="B5" s="11" t="inlineStr">
        <is>
          <t>1.4</t>
        </is>
      </c>
      <c r="C5" s="10" t="inlineStr">
        <is>
          <t>Update review deck to reflect new scope</t>
        </is>
      </c>
      <c r="D5" s="14" t="inlineStr">
        <is>
          <t>Both</t>
        </is>
      </c>
      <c r="E5" s="11" t="inlineStr">
        <is>
          <t>M</t>
        </is>
      </c>
      <c r="F5" s="10" t="inlineStr">
        <is>
          <t>1.2,1.3</t>
        </is>
      </c>
      <c r="G5" s="10" t="inlineStr">
        <is>
          <t>Done</t>
        </is>
      </c>
      <c r="H5" s="10" t="inlineStr">
        <is>
          <t>Reuse existing deck; strip DDI &amp; storage slides</t>
        </is>
      </c>
    </row>
    <row r="6" ht="26.4" customHeight="1">
      <c r="A6" s="10" t="inlineStr">
        <is>
          <t>2 — Redesign Artifacts</t>
        </is>
      </c>
      <c r="B6" s="11" t="inlineStr">
        <is>
          <t>2.1</t>
        </is>
      </c>
      <c r="C6" s="10" t="inlineStr">
        <is>
          <t>Remove DDI from design; design medication-card replacement + 'show your doctor' prompt</t>
        </is>
      </c>
      <c r="D6" s="13" t="inlineStr">
        <is>
          <t>Both</t>
        </is>
      </c>
      <c r="E6" s="11" t="inlineStr">
        <is>
          <t>S</t>
        </is>
      </c>
      <c r="F6" s="10" t="inlineStr">
        <is>
          <t>1.2</t>
        </is>
      </c>
      <c r="G6" s="10" t="inlineStr">
        <is>
          <t>Done</t>
        </is>
      </c>
      <c r="H6" s="10" t="inlineStr">
        <is>
          <t>Non-clinical alternative to interaction checker</t>
        </is>
      </c>
    </row>
    <row r="7" ht="26.4" customHeight="1">
      <c r="A7" s="10" t="inlineStr">
        <is>
          <t>2 — Redesign Artifacts</t>
        </is>
      </c>
      <c r="B7" s="11" t="inlineStr">
        <is>
          <t>2.2</t>
        </is>
      </c>
      <c r="C7" s="10" t="inlineStr">
        <is>
          <t>Redesign document handling as process-and-discard pipeline</t>
        </is>
      </c>
      <c r="D7" s="13" t="inlineStr">
        <is>
          <t>Both</t>
        </is>
      </c>
      <c r="E7" s="11" t="inlineStr">
        <is>
          <t>M</t>
        </is>
      </c>
      <c r="F7" s="10" t="inlineStr">
        <is>
          <t>1.2</t>
        </is>
      </c>
      <c r="G7" s="10" t="inlineStr">
        <is>
          <t>Done</t>
        </is>
      </c>
      <c r="H7" s="10" t="inlineStr">
        <is>
          <t>upload &gt; extract &gt; verify &gt; save structured &gt; delete</t>
        </is>
      </c>
    </row>
    <row r="8" ht="26.4" customHeight="1">
      <c r="A8" s="10" t="inlineStr">
        <is>
          <t>2 — Redesign Artifacts</t>
        </is>
      </c>
      <c r="B8" s="11" t="inlineStr">
        <is>
          <t>2.3</t>
        </is>
      </c>
      <c r="C8" s="10" t="inlineStr">
        <is>
          <t>Design consent framework (events, granularity, consent log, withdrawal)</t>
        </is>
      </c>
      <c r="D8" s="13" t="inlineStr">
        <is>
          <t>Both</t>
        </is>
      </c>
      <c r="E8" s="11" t="inlineStr">
        <is>
          <t>M</t>
        </is>
      </c>
      <c r="F8" s="10" t="inlineStr">
        <is>
          <t>1.2</t>
        </is>
      </c>
      <c r="G8" s="10" t="inlineStr">
        <is>
          <t>Done</t>
        </is>
      </c>
      <c r="H8" s="10" t="inlineStr">
        <is>
          <t>Fires on every extract &amp; share</t>
        </is>
      </c>
    </row>
    <row r="9">
      <c r="A9" s="10" t="inlineStr">
        <is>
          <t>2 — Redesign Artifacts</t>
        </is>
      </c>
      <c r="B9" s="11" t="inlineStr">
        <is>
          <t>2.4</t>
        </is>
      </c>
      <c r="C9" s="10" t="inlineStr">
        <is>
          <t>Design nursing role (placement, assignment, visit, escalation)</t>
        </is>
      </c>
      <c r="D9" s="13" t="inlineStr">
        <is>
          <t>Both</t>
        </is>
      </c>
      <c r="E9" s="11" t="inlineStr">
        <is>
          <t>M</t>
        </is>
      </c>
      <c r="F9" s="10" t="inlineStr">
        <is>
          <t>1.2</t>
        </is>
      </c>
      <c r="G9" s="10" t="inlineStr">
        <is>
          <t>Done</t>
        </is>
      </c>
      <c r="H9" s="10" t="inlineStr">
        <is>
          <t>Decide: own role vs provider subtype</t>
        </is>
      </c>
    </row>
    <row r="10" ht="26.4" customHeight="1">
      <c r="A10" s="10" t="inlineStr">
        <is>
          <t>2 — Redesign Artifacts</t>
        </is>
      </c>
      <c r="B10" s="11" t="inlineStr">
        <is>
          <t>2.5</t>
        </is>
      </c>
      <c r="C10" s="10" t="inlineStr">
        <is>
          <t>Define provider use cases (verification, snapshot, care plan, monitoring, coordination)</t>
        </is>
      </c>
      <c r="D10" s="12" t="inlineStr">
        <is>
          <t>Both</t>
        </is>
      </c>
      <c r="E10" s="11" t="inlineStr">
        <is>
          <t>M</t>
        </is>
      </c>
      <c r="F10" s="10" t="inlineStr">
        <is>
          <t>1.2</t>
        </is>
      </c>
      <c r="G10" s="10" t="inlineStr">
        <is>
          <t>Done</t>
        </is>
      </c>
      <c r="H10" s="10" t="inlineStr">
        <is>
          <t>Balances the patient-heavy use-case set — 28 implemented use cases + 8 planned, each mapped to a real URL — docs/use_cases.md. [verified against code 2026-08-03]</t>
        </is>
      </c>
    </row>
    <row r="11" ht="26.4" customHeight="1">
      <c r="A11" s="10" t="inlineStr">
        <is>
          <t>2 — Redesign Artifacts</t>
        </is>
      </c>
      <c r="B11" s="11" t="inlineStr">
        <is>
          <t>2.6</t>
        </is>
      </c>
      <c r="C11" s="10" t="inlineStr">
        <is>
          <t>Update ERD / data model (drop DrugInteraction &amp; media entities; add Consent, NursingVisit, CarePlan, ProviderService)</t>
        </is>
      </c>
      <c r="D11" s="13" t="inlineStr">
        <is>
          <t>Both</t>
        </is>
      </c>
      <c r="E11" s="11" t="inlineStr">
        <is>
          <t>M</t>
        </is>
      </c>
      <c r="F11" s="10" t="inlineStr">
        <is>
          <t>2.1,2.2,2.3,2.4</t>
        </is>
      </c>
      <c r="G11" s="10" t="inlineStr">
        <is>
          <t>Done</t>
        </is>
      </c>
      <c r="H11" s="10" t="inlineStr">
        <is>
          <t>Foundation for all models — ERD generated from Django model introspection — docs/erd.md + reports/figures/erd.png|svg. [verified against code 2026-08-03]</t>
        </is>
      </c>
    </row>
    <row r="12" ht="26.4" customHeight="1">
      <c r="A12" s="10" t="inlineStr">
        <is>
          <t>2 — Redesign Artifacts</t>
        </is>
      </c>
      <c r="B12" s="11" t="inlineStr">
        <is>
          <t>2.7</t>
        </is>
      </c>
      <c r="C12" s="10" t="inlineStr">
        <is>
          <t>Update architecture diagram (intelligence layer loses DDI; data layer loses media store; add consent service)</t>
        </is>
      </c>
      <c r="D12" s="14" t="inlineStr">
        <is>
          <t>Both</t>
        </is>
      </c>
      <c r="E12" s="11" t="inlineStr">
        <is>
          <t>S</t>
        </is>
      </c>
      <c r="F12" s="10" t="inlineStr">
        <is>
          <t>2.6</t>
        </is>
      </c>
      <c r="G12" s="10" t="inlineStr">
        <is>
          <t>Done</t>
        </is>
      </c>
      <c r="H12" s="10" t="inlineStr">
        <is>
          <t>Visual/diagram work — Layered architecture + consent-gated-read sequence diagram — docs/architecture.md. [verified against code 2026-08-03]</t>
        </is>
      </c>
    </row>
    <row r="13">
      <c r="A13" s="10" t="inlineStr">
        <is>
          <t>2 — Redesign Artifacts</t>
        </is>
      </c>
      <c r="B13" s="11" t="inlineStr">
        <is>
          <t>2.8</t>
        </is>
      </c>
      <c r="C13" s="10" t="inlineStr">
        <is>
          <t>Update use-case diagram (add provider + nurse actors/cases)</t>
        </is>
      </c>
      <c r="D13" s="14" t="inlineStr">
        <is>
          <t>Both</t>
        </is>
      </c>
      <c r="E13" s="11" t="inlineStr">
        <is>
          <t>S</t>
        </is>
      </c>
      <c r="F13" s="10" t="inlineStr">
        <is>
          <t>2.5</t>
        </is>
      </c>
      <c r="G13" s="10" t="inlineStr">
        <is>
          <t>Done</t>
        </is>
      </c>
      <c r="H13" s="10" t="inlineStr">
        <is>
          <t>Visual/diagram work — Actor/use-case diagram rendered — reports/figures/use_cases.png|svg. [verified against code 2026-08-03]</t>
        </is>
      </c>
    </row>
    <row r="14">
      <c r="A14" s="10" t="inlineStr">
        <is>
          <t>2 — Redesign Artifacts</t>
        </is>
      </c>
      <c r="B14" s="11" t="inlineStr">
        <is>
          <t>2.9</t>
        </is>
      </c>
      <c r="C14" s="10" t="inlineStr">
        <is>
          <t>Revise module list (13 modules -&gt; new set)</t>
        </is>
      </c>
      <c r="D14" s="12" t="inlineStr">
        <is>
          <t>Both</t>
        </is>
      </c>
      <c r="E14" s="11" t="inlineStr">
        <is>
          <t>S</t>
        </is>
      </c>
      <c r="F14" s="10" t="inlineStr">
        <is>
          <t>2.5,2.6</t>
        </is>
      </c>
      <c r="G14" s="10" t="inlineStr">
        <is>
          <t>Done</t>
        </is>
      </c>
      <c r="H14" s="10" t="inlineStr">
        <is>
          <t>Keep numbering consistent across docs — 22 modules with implemented/planned status; records the 2 removed modules — docs/modules.md. [verified against code 2026-08-03]</t>
        </is>
      </c>
    </row>
    <row r="15">
      <c r="A15" s="10" t="inlineStr">
        <is>
          <t>2 — Redesign Artifacts</t>
        </is>
      </c>
      <c r="B15" s="11" t="inlineStr">
        <is>
          <t>2.10</t>
        </is>
      </c>
      <c r="C15" s="10" t="inlineStr">
        <is>
          <t>Wireframe all five role dashboards</t>
        </is>
      </c>
      <c r="D15" s="14" t="inlineStr">
        <is>
          <t>Both</t>
        </is>
      </c>
      <c r="E15" s="11" t="inlineStr">
        <is>
          <t>L</t>
        </is>
      </c>
      <c r="F15" s="10" t="inlineStr">
        <is>
          <t>2.9</t>
        </is>
      </c>
      <c r="G15" s="10" t="inlineStr">
        <is>
          <t>Done</t>
        </is>
      </c>
      <c r="H15" s="10" t="inlineStr">
        <is>
          <t>Patient/caregiver/nurse/provider/admin — As-built layouts for all 5 role dashboards + 12 full-page screenshots — docs/wireframes.md. [verified against code 2026-08-03]</t>
        </is>
      </c>
    </row>
    <row r="16" ht="26.4" customHeight="1">
      <c r="A16" s="10" t="inlineStr">
        <is>
          <t>2 — Redesign Artifacts</t>
        </is>
      </c>
      <c r="B16" s="11" t="inlineStr">
        <is>
          <t>2.11</t>
        </is>
      </c>
      <c r="C16" s="10" t="inlineStr">
        <is>
          <t>Design consent pop-up UX &amp; flows (plain-language, large-text, accessible)</t>
        </is>
      </c>
      <c r="D16" s="14" t="inlineStr">
        <is>
          <t>Both</t>
        </is>
      </c>
      <c r="E16" s="11" t="inlineStr">
        <is>
          <t>M</t>
        </is>
      </c>
      <c r="F16" s="10" t="inlineStr">
        <is>
          <t>2.3</t>
        </is>
      </c>
      <c r="G16" s="10" t="inlineStr">
        <is>
          <t>Done</t>
        </is>
      </c>
      <c r="H16" s="10" t="inlineStr">
        <is>
          <t>Must not cause consent fatigue for elderly — Consent pop-up UX for elderly/low-tech users incl. accessibility — docs/consent_ux.md. [verified against code 2026-08-03]</t>
        </is>
      </c>
    </row>
    <row r="17">
      <c r="A17" s="10" t="inlineStr">
        <is>
          <t>2 — Redesign Artifacts</t>
        </is>
      </c>
      <c r="B17" s="11" t="inlineStr">
        <is>
          <t>2.12</t>
        </is>
      </c>
      <c r="C17" s="10" t="inlineStr">
        <is>
          <t>Design navigation / information architecture for 5 roles</t>
        </is>
      </c>
      <c r="D17" s="14" t="inlineStr">
        <is>
          <t>Both</t>
        </is>
      </c>
      <c r="E17" s="11" t="inlineStr">
        <is>
          <t>M</t>
        </is>
      </c>
      <c r="F17" s="10" t="inlineStr">
        <is>
          <t>2.10</t>
        </is>
      </c>
      <c r="G17" s="10" t="inlineStr">
        <is>
          <t>Done</t>
        </is>
      </c>
      <c r="H17" s="10" t="inlineStr">
        <is>
          <t>Role-based routing map — Per-role navigation map derived from sidebar partials and URLs — docs/information_architecture.md. [verified against code 2026-08-03]</t>
        </is>
      </c>
    </row>
    <row r="18">
      <c r="A18" s="10" t="inlineStr">
        <is>
          <t>3 — Build (Backend)</t>
        </is>
      </c>
      <c r="B18" s="11" t="inlineStr">
        <is>
          <t>3.1</t>
        </is>
      </c>
      <c r="C18" s="10" t="inlineStr">
        <is>
          <t>Django project config, settings, env, MySQL setup</t>
        </is>
      </c>
      <c r="D18" s="13" t="inlineStr">
        <is>
          <t>Both</t>
        </is>
      </c>
      <c r="E18" s="11" t="inlineStr">
        <is>
          <t>S</t>
        </is>
      </c>
      <c r="F18" s="10" t="inlineStr">
        <is>
          <t>2.6</t>
        </is>
      </c>
      <c r="G18" s="10" t="inlineStr">
        <is>
          <t>Done</t>
        </is>
      </c>
      <c r="H18" s="10" t="inlineStr">
        <is>
          <t>Scaffold already exists (venv/Django 6) — Django config, settings, .env. Running on SQLite (USE_SQLITE=1); MySQL path kept. [verified against code 2026-08-03]</t>
        </is>
      </c>
    </row>
    <row r="19">
      <c r="A19" s="10" t="inlineStr">
        <is>
          <t>3 — Build (Backend)</t>
        </is>
      </c>
      <c r="B19" s="11" t="inlineStr">
        <is>
          <t>3.2</t>
        </is>
      </c>
      <c r="C19" s="10" t="inlineStr">
        <is>
          <t>Custom User model + RBAC + roles (incl. nurse)</t>
        </is>
      </c>
      <c r="D19" s="13" t="inlineStr">
        <is>
          <t>Both</t>
        </is>
      </c>
      <c r="E19" s="11" t="inlineStr">
        <is>
          <t>M</t>
        </is>
      </c>
      <c r="F19" s="10" t="inlineStr">
        <is>
          <t>3.1</t>
        </is>
      </c>
      <c r="G19" s="10" t="inlineStr">
        <is>
          <t>Done</t>
        </is>
      </c>
      <c r="H19" s="10" t="inlineStr">
        <is>
          <t>Role discriminator on single User entity — Custom User, 5 roles incl. Nurse, role_required decorator, tested. [verified against code 2026-08-03]</t>
        </is>
      </c>
    </row>
    <row r="20">
      <c r="A20" s="10" t="inlineStr">
        <is>
          <t>3 — Build (Backend)</t>
        </is>
      </c>
      <c r="B20" s="11" t="inlineStr">
        <is>
          <t>3.3</t>
        </is>
      </c>
      <c r="C20" s="10" t="inlineStr">
        <is>
          <t>Patient profile &amp; onboarding (models + logic)</t>
        </is>
      </c>
      <c r="D20" s="13" t="inlineStr">
        <is>
          <t>Both</t>
        </is>
      </c>
      <c r="E20" s="11" t="inlineStr">
        <is>
          <t>M</t>
        </is>
      </c>
      <c r="F20" s="10" t="inlineStr">
        <is>
          <t>3.2</t>
        </is>
      </c>
      <c r="G20" s="10" t="inlineStr">
        <is>
          <t>Done</t>
        </is>
      </c>
      <c r="H20" s="10" t="inlineStr">
        <is>
          <t>Profile fields + progressive completion indicator; patients skip the wizard. [verified against code 2026-08-03]</t>
        </is>
      </c>
    </row>
    <row r="21">
      <c r="A21" s="10" t="inlineStr">
        <is>
          <t>3 — Build (Backend)</t>
        </is>
      </c>
      <c r="B21" s="11" t="inlineStr">
        <is>
          <t>3.4</t>
        </is>
      </c>
      <c r="C21" s="10" t="inlineStr">
        <is>
          <t>Vitals models + anomaly-detection logic</t>
        </is>
      </c>
      <c r="D21" s="13" t="inlineStr">
        <is>
          <t>Both</t>
        </is>
      </c>
      <c r="E21" s="11" t="inlineStr">
        <is>
          <t>M</t>
        </is>
      </c>
      <c r="F21" s="10" t="inlineStr">
        <is>
          <t>3.3</t>
        </is>
      </c>
      <c r="G21" s="10" t="inlineStr">
        <is>
          <t>Done</t>
        </is>
      </c>
      <c r="H21" s="10" t="inlineStr">
        <is>
          <t>Threshold rules for BP/HR/temp/SpO2 — VitalRecord.compute_status() threshold rules + health/analytics.py insight rules. [verified against code 2026-08-03]</t>
        </is>
      </c>
    </row>
    <row r="22">
      <c r="A22" s="10" t="inlineStr">
        <is>
          <t>3 — Build (Backend)</t>
        </is>
      </c>
      <c r="B22" s="11" t="inlineStr">
        <is>
          <t>3.5</t>
        </is>
      </c>
      <c r="C22" s="10" t="inlineStr">
        <is>
          <t>Medication &amp; inventory models + medication-card logic</t>
        </is>
      </c>
      <c r="D22" s="13" t="inlineStr">
        <is>
          <t>Both</t>
        </is>
      </c>
      <c r="E22" s="11" t="inlineStr">
        <is>
          <t>M</t>
        </is>
      </c>
      <c r="F22" s="10" t="inlineStr">
        <is>
          <t>3.3</t>
        </is>
      </c>
      <c r="G22" s="10" t="inlineStr">
        <is>
          <t>Done</t>
        </is>
      </c>
      <c r="H22" s="10" t="inlineStr">
        <is>
          <t>Card replaces the DDI checker — Medication + MedicationDose per-day tracking, adherence %, medication card UI. [verified against code 2026-08-03]</t>
        </is>
      </c>
    </row>
    <row r="23" ht="26.4" customHeight="1">
      <c r="A23" s="10" t="inlineStr">
        <is>
          <t>3 — Build (Backend)</t>
        </is>
      </c>
      <c r="B23" s="11" t="inlineStr">
        <is>
          <t>3.6</t>
        </is>
      </c>
      <c r="C23" s="10" t="inlineStr">
        <is>
          <t>Prescription/lab extraction pipeline (OCR+LLM) with process-and-discard + verify</t>
        </is>
      </c>
      <c r="D23" s="13" t="inlineStr">
        <is>
          <t>Both</t>
        </is>
      </c>
      <c r="E23" s="11" t="inlineStr">
        <is>
          <t>L</t>
        </is>
      </c>
      <c r="F23" s="10" t="inlineStr">
        <is>
          <t>2.2,3.5</t>
        </is>
      </c>
      <c r="G23" s="10" t="inlineStr">
        <is>
          <t>Not started</t>
        </is>
      </c>
      <c r="H23" s="10" t="inlineStr">
        <is>
          <t>Ensure no residual files / no LLM retention</t>
        </is>
      </c>
    </row>
    <row r="24" ht="26.4" customHeight="1">
      <c r="A24" s="10" t="inlineStr">
        <is>
          <t>3 — Build (Backend)</t>
        </is>
      </c>
      <c r="B24" s="11" t="inlineStr">
        <is>
          <t>3.7</t>
        </is>
      </c>
      <c r="C24" s="10" t="inlineStr">
        <is>
          <t>Consent engine: gating decorators/middleware, consent log, withdrawal</t>
        </is>
      </c>
      <c r="D24" s="13" t="inlineStr">
        <is>
          <t>Both</t>
        </is>
      </c>
      <c r="E24" s="11" t="inlineStr">
        <is>
          <t>L</t>
        </is>
      </c>
      <c r="F24" s="10" t="inlineStr">
        <is>
          <t>2.3,3.2</t>
        </is>
      </c>
      <c r="G24" s="10" t="inlineStr">
        <is>
          <t>Done</t>
        </is>
      </c>
      <c r="H24" s="10" t="inlineStr">
        <is>
          <t>Gate every extract &amp; share action — ConsentGrant model, has_consent() gate, revoke/expiry, audit-logged. [verified against code 2026-08-03]</t>
        </is>
      </c>
    </row>
    <row r="25">
      <c r="A25" s="10" t="inlineStr">
        <is>
          <t>3 — Build (Backend)</t>
        </is>
      </c>
      <c r="B25" s="11" t="inlineStr">
        <is>
          <t>3.8</t>
        </is>
      </c>
      <c r="C25" s="10" t="inlineStr">
        <is>
          <t>Appointments &amp; reminders logic</t>
        </is>
      </c>
      <c r="D25" s="13" t="inlineStr">
        <is>
          <t>Both</t>
        </is>
      </c>
      <c r="E25" s="11" t="inlineStr">
        <is>
          <t>M</t>
        </is>
      </c>
      <c r="F25" s="10" t="inlineStr">
        <is>
          <t>3.2</t>
        </is>
      </c>
      <c r="G25" s="10" t="inlineStr">
        <is>
          <t>Done</t>
        </is>
      </c>
      <c r="H25" s="10" t="inlineStr">
        <is>
          <t>Appointment request/accept/decline/complete loop. [verified against code 2026-08-03]</t>
        </is>
      </c>
    </row>
    <row r="26">
      <c r="A26" s="10" t="inlineStr">
        <is>
          <t>3 — Build (Backend)</t>
        </is>
      </c>
      <c r="B26" s="11" t="inlineStr">
        <is>
          <t>3.9</t>
        </is>
      </c>
      <c r="C26" s="10" t="inlineStr">
        <is>
          <t>Caregiver module logic</t>
        </is>
      </c>
      <c r="D26" s="13" t="inlineStr">
        <is>
          <t>Both</t>
        </is>
      </c>
      <c r="E26" s="11" t="inlineStr">
        <is>
          <t>M</t>
        </is>
      </c>
      <c r="F26" s="10" t="inlineStr">
        <is>
          <t>3.2</t>
        </is>
      </c>
      <c r="G26" s="10" t="inlineStr">
        <is>
          <t>Done</t>
        </is>
      </c>
      <c r="H26" s="10" t="inlineStr">
        <is>
          <t>CaregiverLink + patient-side approval gating all caregiver access. [verified against code 2026-08-03]</t>
        </is>
      </c>
    </row>
    <row r="27" ht="26.4" customHeight="1">
      <c r="A27" s="10" t="inlineStr">
        <is>
          <t>3 — Build (Backend)</t>
        </is>
      </c>
      <c r="B27" s="11" t="inlineStr">
        <is>
          <t>3.10</t>
        </is>
      </c>
      <c r="C27" s="10" t="inlineStr">
        <is>
          <t>Nurse module: assignment, visit logging, escalation, data-entry-on-behalf</t>
        </is>
      </c>
      <c r="D27" s="13" t="inlineStr">
        <is>
          <t>Both</t>
        </is>
      </c>
      <c r="E27" s="11" t="inlineStr">
        <is>
          <t>L</t>
        </is>
      </c>
      <c r="F27" s="10" t="inlineStr">
        <is>
          <t>2.4,3.2</t>
        </is>
      </c>
      <c r="G27" s="10" t="inlineStr">
        <is>
          <t>Done</t>
        </is>
      </c>
      <c r="H27" s="10" t="inlineStr">
        <is>
          <t>Logging/coordination only, not clinical orders — nursing app: NurseAssignment, NursingVisit, escalation, nurse-tagged vitals. [verified against code 2026-08-03]</t>
        </is>
      </c>
    </row>
    <row r="28">
      <c r="A28" s="10" t="inlineStr">
        <is>
          <t>3 — Build (Backend)</t>
        </is>
      </c>
      <c r="B28" s="11" t="inlineStr">
        <is>
          <t>3.11</t>
        </is>
      </c>
      <c r="C28" s="10" t="inlineStr">
        <is>
          <t>Provider marketplace: verification, listings, availability</t>
        </is>
      </c>
      <c r="D28" s="13" t="inlineStr">
        <is>
          <t>Both</t>
        </is>
      </c>
      <c r="E28" s="11" t="inlineStr">
        <is>
          <t>L</t>
        </is>
      </c>
      <c r="F28" s="10" t="inlineStr">
        <is>
          <t>3.2</t>
        </is>
      </c>
      <c r="G28" s="10" t="inlineStr">
        <is>
          <t>In progress</t>
        </is>
      </c>
      <c r="H28" s="10" t="inlineStr">
        <is>
          <t>Verification + listings done; availability calendar outstanding (Phase 3). [verified against code 2026-08-03]</t>
        </is>
      </c>
    </row>
    <row r="29">
      <c r="A29" s="10" t="inlineStr">
        <is>
          <t>3 — Build (Backend)</t>
        </is>
      </c>
      <c r="B29" s="11" t="inlineStr">
        <is>
          <t>3.12</t>
        </is>
      </c>
      <c r="C29" s="10" t="inlineStr">
        <is>
          <t>Pre-visit snapshot API (consented, read-only)</t>
        </is>
      </c>
      <c r="D29" s="13" t="inlineStr">
        <is>
          <t>Both</t>
        </is>
      </c>
      <c r="E29" s="11" t="inlineStr">
        <is>
          <t>M</t>
        </is>
      </c>
      <c r="F29" s="10" t="inlineStr">
        <is>
          <t>3.7,3.11</t>
        </is>
      </c>
      <c r="G29" s="10" t="inlineStr">
        <is>
          <t>Not started</t>
        </is>
      </c>
      <c r="H29" s="10" t="inlineStr">
        <is>
          <t>Highest-value provider feature</t>
        </is>
      </c>
    </row>
    <row r="30">
      <c r="A30" s="10" t="inlineStr">
        <is>
          <t>3 — Build (Backend)</t>
        </is>
      </c>
      <c r="B30" s="11" t="inlineStr">
        <is>
          <t>3.13</t>
        </is>
      </c>
      <c r="C30" s="10" t="inlineStr">
        <is>
          <t>Care plan / targets logic</t>
        </is>
      </c>
      <c r="D30" s="13" t="inlineStr">
        <is>
          <t>Both</t>
        </is>
      </c>
      <c r="E30" s="11" t="inlineStr">
        <is>
          <t>M</t>
        </is>
      </c>
      <c r="F30" s="10" t="inlineStr">
        <is>
          <t>3.11</t>
        </is>
      </c>
      <c r="G30" s="10" t="inlineStr">
        <is>
          <t>Not started</t>
        </is>
      </c>
      <c r="H30" s="10" t="inlineStr">
        <is>
          <t>Provider sets targets -&gt; patient dashboard</t>
        </is>
      </c>
    </row>
    <row r="31" ht="26.4" customHeight="1">
      <c r="A31" s="10" t="inlineStr">
        <is>
          <t>3 — Build (Backend)</t>
        </is>
      </c>
      <c r="B31" s="11" t="inlineStr">
        <is>
          <t>3.14</t>
        </is>
      </c>
      <c r="C31" s="10" t="inlineStr">
        <is>
          <t>Remote monitoring + alerts engine</t>
        </is>
      </c>
      <c r="D31" s="13" t="inlineStr">
        <is>
          <t>Both</t>
        </is>
      </c>
      <c r="E31" s="11" t="inlineStr">
        <is>
          <t>L</t>
        </is>
      </c>
      <c r="F31" s="10" t="inlineStr">
        <is>
          <t>3.4,3.11</t>
        </is>
      </c>
      <c r="G31" s="10" t="inlineStr">
        <is>
          <t>Not started</t>
        </is>
      </c>
      <c r="H31" s="10" t="inlineStr">
        <is>
          <t>Anomaly &amp; missed-dose alerts to provider/nurse</t>
        </is>
      </c>
    </row>
    <row r="32">
      <c r="A32" s="10" t="inlineStr">
        <is>
          <t>3 — Build (Backend)</t>
        </is>
      </c>
      <c r="B32" s="11" t="inlineStr">
        <is>
          <t>3.15</t>
        </is>
      </c>
      <c r="C32" s="10" t="inlineStr">
        <is>
          <t>Secure sharing as ephemeral pass-through (no persistence)</t>
        </is>
      </c>
      <c r="D32" s="13" t="inlineStr">
        <is>
          <t>Both</t>
        </is>
      </c>
      <c r="E32" s="11" t="inlineStr">
        <is>
          <t>M</t>
        </is>
      </c>
      <c r="F32" s="10" t="inlineStr">
        <is>
          <t>3.7</t>
        </is>
      </c>
      <c r="G32" s="10" t="inlineStr">
        <is>
          <t>In progress</t>
        </is>
      </c>
      <c r="H32" s="10" t="inlineStr">
        <is>
          <t>App is a pipe, not a vault — ConsentGrant revoke/expiry works; purge command + pass-through hardening outstanding. [verified against code 2026-08-03]</t>
        </is>
      </c>
    </row>
    <row r="33">
      <c r="A33" s="10" t="inlineStr">
        <is>
          <t>3 — Build (Backend)</t>
        </is>
      </c>
      <c r="B33" s="11" t="inlineStr">
        <is>
          <t>3.16</t>
        </is>
      </c>
      <c r="C33" s="10" t="inlineStr">
        <is>
          <t>Admin &amp; provider-verification logic</t>
        </is>
      </c>
      <c r="D33" s="13" t="inlineStr">
        <is>
          <t>Both</t>
        </is>
      </c>
      <c r="E33" s="11" t="inlineStr">
        <is>
          <t>M</t>
        </is>
      </c>
      <c r="F33" s="10" t="inlineStr">
        <is>
          <t>3.11</t>
        </is>
      </c>
      <c r="G33" s="10" t="inlineStr">
        <is>
          <t>Done</t>
        </is>
      </c>
      <c r="H33" s="10" t="inlineStr">
        <is>
          <t>Admin verification queue with approve / request-info, suspend/reinstate, AuditLog. [verified against code 2026-08-03]</t>
        </is>
      </c>
    </row>
    <row r="34">
      <c r="A34" s="10" t="inlineStr">
        <is>
          <t>3 — Build (Frontend)</t>
        </is>
      </c>
      <c r="B34" s="11" t="inlineStr">
        <is>
          <t>3.17</t>
        </is>
      </c>
      <c r="C34" s="10" t="inlineStr">
        <is>
          <t>Base templates, layout, Bootstrap theme, responsive shell</t>
        </is>
      </c>
      <c r="D34" s="14" t="inlineStr">
        <is>
          <t>Both</t>
        </is>
      </c>
      <c r="E34" s="11" t="inlineStr">
        <is>
          <t>M</t>
        </is>
      </c>
      <c r="F34" s="10" t="inlineStr">
        <is>
          <t>2.12</t>
        </is>
      </c>
      <c r="G34" s="10" t="inlineStr">
        <is>
          <t>Done</t>
        </is>
      </c>
      <c r="H34" s="10" t="inlineStr">
        <is>
          <t>base_dashboard.html + 5 role sidebars + dashboard.css design system. [verified against code 2026-08-03]</t>
        </is>
      </c>
    </row>
    <row r="35">
      <c r="A35" s="10" t="inlineStr">
        <is>
          <t>3 — Build (Frontend)</t>
        </is>
      </c>
      <c r="B35" s="11" t="inlineStr">
        <is>
          <t>3.18</t>
        </is>
      </c>
      <c r="C35" s="10" t="inlineStr">
        <is>
          <t>Auth / login / register UI (all roles)</t>
        </is>
      </c>
      <c r="D35" s="14" t="inlineStr">
        <is>
          <t>Both</t>
        </is>
      </c>
      <c r="E35" s="11" t="inlineStr">
        <is>
          <t>M</t>
        </is>
      </c>
      <c r="F35" s="10" t="inlineStr">
        <is>
          <t>3.17,3.2</t>
        </is>
      </c>
      <c r="G35" s="10" t="inlineStr">
        <is>
          <t>Done</t>
        </is>
      </c>
      <c r="H35" s="10" t="inlineStr">
        <is>
          <t>Real register/login/logout for all roles; Nurse &amp; Admin not self-registerable. [verified against code 2026-08-03]</t>
        </is>
      </c>
    </row>
    <row r="36">
      <c r="A36" s="10" t="inlineStr">
        <is>
          <t>3 — Build (Frontend)</t>
        </is>
      </c>
      <c r="B36" s="11" t="inlineStr">
        <is>
          <t>3.19</t>
        </is>
      </c>
      <c r="C36" s="10" t="inlineStr">
        <is>
          <t>Patient dashboard + onboarding forms</t>
        </is>
      </c>
      <c r="D36" s="14" t="inlineStr">
        <is>
          <t>Both</t>
        </is>
      </c>
      <c r="E36" s="11" t="inlineStr">
        <is>
          <t>M</t>
        </is>
      </c>
      <c r="F36" s="10" t="inlineStr">
        <is>
          <t>3.17,3.3</t>
        </is>
      </c>
      <c r="G36" s="10" t="inlineStr">
        <is>
          <t>Done</t>
        </is>
      </c>
      <c r="H36" s="10" t="inlineStr">
        <is>
          <t>Patient dashboard driven by real data + profile completion prompt. [verified against code 2026-08-03]</t>
        </is>
      </c>
    </row>
    <row r="37">
      <c r="A37" s="10" t="inlineStr">
        <is>
          <t>3 — Build (Frontend)</t>
        </is>
      </c>
      <c r="B37" s="11" t="inlineStr">
        <is>
          <t>3.20</t>
        </is>
      </c>
      <c r="C37" s="10" t="inlineStr">
        <is>
          <t>Vitals entry forms + trend charts</t>
        </is>
      </c>
      <c r="D37" s="14" t="inlineStr">
        <is>
          <t>Both</t>
        </is>
      </c>
      <c r="E37" s="11" t="inlineStr">
        <is>
          <t>M</t>
        </is>
      </c>
      <c r="F37" s="10" t="inlineStr">
        <is>
          <t>3.19,3.4</t>
        </is>
      </c>
      <c r="G37" s="10" t="inlineStr">
        <is>
          <t>Done</t>
        </is>
      </c>
      <c r="H37" s="10" t="inlineStr">
        <is>
          <t>Follow dataviz guidance for charts — Vitals form saving to DB; trend sparklines computed server-side from real readings. [verified against code 2026-08-03]</t>
        </is>
      </c>
    </row>
    <row r="38">
      <c r="A38" s="10" t="inlineStr">
        <is>
          <t>3 — Build (Frontend)</t>
        </is>
      </c>
      <c r="B38" s="11" t="inlineStr">
        <is>
          <t>3.21</t>
        </is>
      </c>
      <c r="C38" s="10" t="inlineStr">
        <is>
          <t>Medication management UI + medication-card view</t>
        </is>
      </c>
      <c r="D38" s="14" t="inlineStr">
        <is>
          <t>Both</t>
        </is>
      </c>
      <c r="E38" s="11" t="inlineStr">
        <is>
          <t>M</t>
        </is>
      </c>
      <c r="F38" s="10" t="inlineStr">
        <is>
          <t>3.19,3.5</t>
        </is>
      </c>
      <c r="G38" s="10" t="inlineStr">
        <is>
          <t>Done</t>
        </is>
      </c>
      <c r="H38" s="10" t="inlineStr">
        <is>
          <t>Medication UI with dose ticking and adherence display. [verified against code 2026-08-03]</t>
        </is>
      </c>
    </row>
    <row r="39">
      <c r="A39" s="10" t="inlineStr">
        <is>
          <t>3 — Build (Frontend)</t>
        </is>
      </c>
      <c r="B39" s="11" t="inlineStr">
        <is>
          <t>3.22</t>
        </is>
      </c>
      <c r="C39" s="10" t="inlineStr">
        <is>
          <t>Prescription upload UI + extraction-verify screen</t>
        </is>
      </c>
      <c r="D39" s="14" t="inlineStr">
        <is>
          <t>Both</t>
        </is>
      </c>
      <c r="E39" s="11" t="inlineStr">
        <is>
          <t>M</t>
        </is>
      </c>
      <c r="F39" s="10" t="inlineStr">
        <is>
          <t>3.21,3.6</t>
        </is>
      </c>
      <c r="G39" s="10" t="inlineStr">
        <is>
          <t>Not started</t>
        </is>
      </c>
      <c r="H39" s="10" t="inlineStr">
        <is>
          <t>Show image only until confirm, then discard</t>
        </is>
      </c>
    </row>
    <row r="40">
      <c r="A40" s="10" t="inlineStr">
        <is>
          <t>3 — Build (Frontend)</t>
        </is>
      </c>
      <c r="B40" s="11" t="inlineStr">
        <is>
          <t>3.23</t>
        </is>
      </c>
      <c r="C40" s="10" t="inlineStr">
        <is>
          <t>Consent pop-up components wired to extract/share actions</t>
        </is>
      </c>
      <c r="D40" s="14" t="inlineStr">
        <is>
          <t>Both</t>
        </is>
      </c>
      <c r="E40" s="11" t="inlineStr">
        <is>
          <t>M</t>
        </is>
      </c>
      <c r="F40" s="10" t="inlineStr">
        <is>
          <t>2.11,3.7</t>
        </is>
      </c>
      <c r="G40" s="10" t="inlineStr">
        <is>
          <t>Not started</t>
        </is>
      </c>
      <c r="H40" s="10" t="inlineStr">
        <is>
          <t>Reusable modal component</t>
        </is>
      </c>
    </row>
    <row r="41">
      <c r="A41" s="10" t="inlineStr">
        <is>
          <t>3 — Build (Frontend)</t>
        </is>
      </c>
      <c r="B41" s="11" t="inlineStr">
        <is>
          <t>3.24</t>
        </is>
      </c>
      <c r="C41" s="10" t="inlineStr">
        <is>
          <t>Appointments booking UI + reminders display</t>
        </is>
      </c>
      <c r="D41" s="14" t="inlineStr">
        <is>
          <t>Both</t>
        </is>
      </c>
      <c r="E41" s="11" t="inlineStr">
        <is>
          <t>M</t>
        </is>
      </c>
      <c r="F41" s="10" t="inlineStr">
        <is>
          <t>3.19,3.8</t>
        </is>
      </c>
      <c r="G41" s="10" t="inlineStr">
        <is>
          <t>Done</t>
        </is>
      </c>
      <c r="H41" s="10" t="inlineStr">
        <is>
          <t>Booking UI wired to Appointment; upcoming/past lists. [verified against code 2026-08-03]</t>
        </is>
      </c>
    </row>
    <row r="42">
      <c r="A42" s="10" t="inlineStr">
        <is>
          <t>3 — Build (Frontend)</t>
        </is>
      </c>
      <c r="B42" s="11" t="inlineStr">
        <is>
          <t>3.25</t>
        </is>
      </c>
      <c r="C42" s="10" t="inlineStr">
        <is>
          <t>Caregiver dashboard</t>
        </is>
      </c>
      <c r="D42" s="14" t="inlineStr">
        <is>
          <t>Both</t>
        </is>
      </c>
      <c r="E42" s="11" t="inlineStr">
        <is>
          <t>M</t>
        </is>
      </c>
      <c r="F42" s="10" t="inlineStr">
        <is>
          <t>3.17,3.9</t>
        </is>
      </c>
      <c r="G42" s="10" t="inlineStr">
        <is>
          <t>Done</t>
        </is>
      </c>
      <c r="H42" s="10" t="inlineStr">
        <is>
          <t>Caregiver dashboard, consent-gated, with waiting state before approval. [verified against code 2026-08-03]</t>
        </is>
      </c>
    </row>
    <row r="43">
      <c r="A43" s="10" t="inlineStr">
        <is>
          <t>3 — Build (Frontend)</t>
        </is>
      </c>
      <c r="B43" s="11" t="inlineStr">
        <is>
          <t>3.26</t>
        </is>
      </c>
      <c r="C43" s="10" t="inlineStr">
        <is>
          <t>Nurse dashboard: assignments, visit-logging forms, escalation UI</t>
        </is>
      </c>
      <c r="D43" s="14" t="inlineStr">
        <is>
          <t>Both</t>
        </is>
      </c>
      <c r="E43" s="11" t="inlineStr">
        <is>
          <t>L</t>
        </is>
      </c>
      <c r="F43" s="10" t="inlineStr">
        <is>
          <t>3.17,3.10</t>
        </is>
      </c>
      <c r="G43" s="10" t="inlineStr">
        <is>
          <t>Done</t>
        </is>
      </c>
      <c r="H43" s="10" t="inlineStr">
        <is>
          <t>Nurse dashboard: assignments, visit logging form, escalation UI. [verified against code 2026-08-03]</t>
        </is>
      </c>
    </row>
    <row r="44">
      <c r="A44" s="10" t="inlineStr">
        <is>
          <t>3 — Build (Frontend)</t>
        </is>
      </c>
      <c r="B44" s="11" t="inlineStr">
        <is>
          <t>3.27</t>
        </is>
      </c>
      <c r="C44" s="10" t="inlineStr">
        <is>
          <t>Provider dashboard: marketplace listing, availability calendar</t>
        </is>
      </c>
      <c r="D44" s="14" t="inlineStr">
        <is>
          <t>Both</t>
        </is>
      </c>
      <c r="E44" s="11" t="inlineStr">
        <is>
          <t>L</t>
        </is>
      </c>
      <c r="F44" s="10" t="inlineStr">
        <is>
          <t>3.17,3.11</t>
        </is>
      </c>
      <c r="G44" s="10" t="inlineStr">
        <is>
          <t>In progress</t>
        </is>
      </c>
      <c r="H44" s="10" t="inlineStr">
        <is>
          <t>Provider dashboard done; marketplace availability calendar outstanding (Phase 3). [verified against code 2026-08-03]</t>
        </is>
      </c>
    </row>
    <row r="45">
      <c r="A45" s="10" t="inlineStr">
        <is>
          <t>3 — Build (Frontend)</t>
        </is>
      </c>
      <c r="B45" s="11" t="inlineStr">
        <is>
          <t>3.28</t>
        </is>
      </c>
      <c r="C45" s="10" t="inlineStr">
        <is>
          <t>Pre-visit snapshot view (provider)</t>
        </is>
      </c>
      <c r="D45" s="14" t="inlineStr">
        <is>
          <t>Both</t>
        </is>
      </c>
      <c r="E45" s="11" t="inlineStr">
        <is>
          <t>M</t>
        </is>
      </c>
      <c r="F45" s="10" t="inlineStr">
        <is>
          <t>3.27,3.12</t>
        </is>
      </c>
      <c r="G45" s="10" t="inlineStr">
        <is>
          <t>Not started</t>
        </is>
      </c>
      <c r="H45" s="10" t="n"/>
    </row>
    <row r="46">
      <c r="A46" s="10" t="inlineStr">
        <is>
          <t>3 — Build (Frontend)</t>
        </is>
      </c>
      <c r="B46" s="11" t="inlineStr">
        <is>
          <t>3.29</t>
        </is>
      </c>
      <c r="C46" s="10" t="inlineStr">
        <is>
          <t>Care plan / targets UI</t>
        </is>
      </c>
      <c r="D46" s="14" t="inlineStr">
        <is>
          <t>Both</t>
        </is>
      </c>
      <c r="E46" s="11" t="inlineStr">
        <is>
          <t>M</t>
        </is>
      </c>
      <c r="F46" s="10" t="inlineStr">
        <is>
          <t>3.27,3.13</t>
        </is>
      </c>
      <c r="G46" s="10" t="inlineStr">
        <is>
          <t>Not started</t>
        </is>
      </c>
      <c r="H46" s="10" t="n"/>
    </row>
    <row r="47">
      <c r="A47" s="10" t="inlineStr">
        <is>
          <t>3 — Build (Frontend)</t>
        </is>
      </c>
      <c r="B47" s="11" t="inlineStr">
        <is>
          <t>3.30</t>
        </is>
      </c>
      <c r="C47" s="10" t="inlineStr">
        <is>
          <t>Remote monitoring dashboard + alert display</t>
        </is>
      </c>
      <c r="D47" s="14" t="inlineStr">
        <is>
          <t>Both</t>
        </is>
      </c>
      <c r="E47" s="11" t="inlineStr">
        <is>
          <t>L</t>
        </is>
      </c>
      <c r="F47" s="10" t="inlineStr">
        <is>
          <t>3.27,3.14</t>
        </is>
      </c>
      <c r="G47" s="10" t="inlineStr">
        <is>
          <t>Not started</t>
        </is>
      </c>
      <c r="H47" s="10" t="n"/>
    </row>
    <row r="48">
      <c r="A48" s="10" t="inlineStr">
        <is>
          <t>3 — Build (Frontend)</t>
        </is>
      </c>
      <c r="B48" s="11" t="inlineStr">
        <is>
          <t>3.31</t>
        </is>
      </c>
      <c r="C48" s="10" t="inlineStr">
        <is>
          <t>Admin dashboard + verification UI</t>
        </is>
      </c>
      <c r="D48" s="14" t="inlineStr">
        <is>
          <t>Both</t>
        </is>
      </c>
      <c r="E48" s="11" t="inlineStr">
        <is>
          <t>M</t>
        </is>
      </c>
      <c r="F48" s="10" t="inlineStr">
        <is>
          <t>3.17,3.16</t>
        </is>
      </c>
      <c r="G48" s="10" t="inlineStr">
        <is>
          <t>Done</t>
        </is>
      </c>
      <c r="H48" s="10" t="inlineStr">
        <is>
          <t>Admin dashboard with live KPIs, users, providers, audit log, nursing. [verified against code 2026-08-03]</t>
        </is>
      </c>
    </row>
    <row r="49" ht="26.4" customHeight="1">
      <c r="A49" s="10" t="inlineStr">
        <is>
          <t>4 — Data Science</t>
        </is>
      </c>
      <c r="B49" s="11" t="inlineStr">
        <is>
          <t>4.1</t>
        </is>
      </c>
      <c r="C49" s="10" t="inlineStr">
        <is>
          <t>Generate/expand synthetic dataset covering new flows (nursing visits, provider interactions, consent events)</t>
        </is>
      </c>
      <c r="D49" s="12" t="inlineStr">
        <is>
          <t>Both</t>
        </is>
      </c>
      <c r="E49" s="11" t="inlineStr">
        <is>
          <t>M</t>
        </is>
      </c>
      <c r="F49" s="10" t="inlineStr">
        <is>
          <t>2.6</t>
        </is>
      </c>
      <c r="G49" s="10" t="inlineStr">
        <is>
          <t>Not started</t>
        </is>
      </c>
      <c r="H49" s="10" t="inlineStr">
        <is>
          <t>Keep &lt;=100 records, no real patient data</t>
        </is>
      </c>
    </row>
    <row r="50">
      <c r="A50" s="10" t="inlineStr">
        <is>
          <t>4 — Data Science</t>
        </is>
      </c>
      <c r="B50" s="11" t="inlineStr">
        <is>
          <t>4.2</t>
        </is>
      </c>
      <c r="C50" s="10" t="inlineStr">
        <is>
          <t>Medication non-adherence detection/monitoring model</t>
        </is>
      </c>
      <c r="D50" s="13" t="inlineStr">
        <is>
          <t>Both</t>
        </is>
      </c>
      <c r="E50" s="11" t="inlineStr">
        <is>
          <t>M</t>
        </is>
      </c>
      <c r="F50" s="10" t="inlineStr">
        <is>
          <t>4.1</t>
        </is>
      </c>
      <c r="G50" s="10" t="inlineStr">
        <is>
          <t>Not started</t>
        </is>
      </c>
      <c r="H50" s="10" t="inlineStr">
        <is>
          <t>BP1</t>
        </is>
      </c>
    </row>
    <row r="51">
      <c r="A51" s="10" t="inlineStr">
        <is>
          <t>4 — Data Science</t>
        </is>
      </c>
      <c r="B51" s="11" t="inlineStr">
        <is>
          <t>4.3</t>
        </is>
      </c>
      <c r="C51" s="10" t="inlineStr">
        <is>
          <t>Health-risk prediction model</t>
        </is>
      </c>
      <c r="D51" s="13" t="inlineStr">
        <is>
          <t>Both</t>
        </is>
      </c>
      <c r="E51" s="11" t="inlineStr">
        <is>
          <t>M</t>
        </is>
      </c>
      <c r="F51" s="10" t="inlineStr">
        <is>
          <t>4.1</t>
        </is>
      </c>
      <c r="G51" s="10" t="inlineStr">
        <is>
          <t>Not started</t>
        </is>
      </c>
      <c r="H51" s="10" t="inlineStr">
        <is>
          <t>BP2</t>
        </is>
      </c>
    </row>
    <row r="52">
      <c r="A52" s="10" t="inlineStr">
        <is>
          <t>4 — Data Science</t>
        </is>
      </c>
      <c r="B52" s="11" t="inlineStr">
        <is>
          <t>4.4</t>
        </is>
      </c>
      <c r="C52" s="10" t="inlineStr">
        <is>
          <t>Vital-sign anomaly detection (rules/model)</t>
        </is>
      </c>
      <c r="D52" s="13" t="inlineStr">
        <is>
          <t>Both</t>
        </is>
      </c>
      <c r="E52" s="11" t="inlineStr">
        <is>
          <t>M</t>
        </is>
      </c>
      <c r="F52" s="10" t="inlineStr">
        <is>
          <t>4.1</t>
        </is>
      </c>
      <c r="G52" s="10" t="inlineStr">
        <is>
          <t>Not started</t>
        </is>
      </c>
      <c r="H52" s="10" t="inlineStr">
        <is>
          <t>Ties to 3.4</t>
        </is>
      </c>
    </row>
    <row r="53">
      <c r="A53" s="10" t="inlineStr">
        <is>
          <t>4 — Data Science</t>
        </is>
      </c>
      <c r="B53" s="11" t="inlineStr">
        <is>
          <t>4.5</t>
        </is>
      </c>
      <c r="C53" s="10" t="inlineStr">
        <is>
          <t>Personalized recommendation engine</t>
        </is>
      </c>
      <c r="D53" s="13" t="inlineStr">
        <is>
          <t>Both</t>
        </is>
      </c>
      <c r="E53" s="11" t="inlineStr">
        <is>
          <t>M</t>
        </is>
      </c>
      <c r="F53" s="10" t="inlineStr">
        <is>
          <t>4.1</t>
        </is>
      </c>
      <c r="G53" s="10" t="inlineStr">
        <is>
          <t>Not started</t>
        </is>
      </c>
      <c r="H53" s="10" t="inlineStr">
        <is>
          <t>BP4</t>
        </is>
      </c>
    </row>
    <row r="54">
      <c r="A54" s="10" t="inlineStr">
        <is>
          <t>4 — Data Science</t>
        </is>
      </c>
      <c r="B54" s="11" t="inlineStr">
        <is>
          <t>4.6</t>
        </is>
      </c>
      <c r="C54" s="10" t="inlineStr">
        <is>
          <t>Private mood / sentiment check-in</t>
        </is>
      </c>
      <c r="D54" s="13" t="inlineStr">
        <is>
          <t>Both</t>
        </is>
      </c>
      <c r="E54" s="11" t="inlineStr">
        <is>
          <t>S</t>
        </is>
      </c>
      <c r="F54" s="10" t="inlineStr">
        <is>
          <t>4.1</t>
        </is>
      </c>
      <c r="G54" s="10" t="inlineStr">
        <is>
          <t>Not started</t>
        </is>
      </c>
      <c r="H54" s="10" t="n"/>
    </row>
    <row r="55">
      <c r="A55" s="10" t="inlineStr">
        <is>
          <t>4 — Data Science</t>
        </is>
      </c>
      <c r="B55" s="11" t="inlineStr">
        <is>
          <t>4.7</t>
        </is>
      </c>
      <c r="C55" s="10" t="inlineStr">
        <is>
          <t>Model evaluation &amp; validation metrics</t>
        </is>
      </c>
      <c r="D55" s="13" t="inlineStr">
        <is>
          <t>Both</t>
        </is>
      </c>
      <c r="E55" s="11" t="inlineStr">
        <is>
          <t>M</t>
        </is>
      </c>
      <c r="F55" s="10" t="inlineStr">
        <is>
          <t>4.2,4.3,4.4,4.5</t>
        </is>
      </c>
      <c r="G55" s="10" t="inlineStr">
        <is>
          <t>Not started</t>
        </is>
      </c>
      <c r="H55" s="10" t="n"/>
    </row>
    <row r="56">
      <c r="A56" s="10" t="inlineStr">
        <is>
          <t>4 — Data Science</t>
        </is>
      </c>
      <c r="B56" s="11" t="inlineStr">
        <is>
          <t>4.8</t>
        </is>
      </c>
      <c r="C56" s="10" t="inlineStr">
        <is>
          <t>CRISP-DM documentation per model</t>
        </is>
      </c>
      <c r="D56" s="12" t="inlineStr">
        <is>
          <t>Both</t>
        </is>
      </c>
      <c r="E56" s="11" t="inlineStr">
        <is>
          <t>M</t>
        </is>
      </c>
      <c r="F56" s="10" t="inlineStr">
        <is>
          <t>4.7</t>
        </is>
      </c>
      <c r="G56" s="10" t="inlineStr">
        <is>
          <t>Not started</t>
        </is>
      </c>
      <c r="H56" s="10" t="inlineStr">
        <is>
          <t>Required for MDS grading</t>
        </is>
      </c>
    </row>
    <row r="57">
      <c r="A57" s="10" t="inlineStr">
        <is>
          <t>4 — Data Science</t>
        </is>
      </c>
      <c r="B57" s="11" t="inlineStr">
        <is>
          <t>4.9</t>
        </is>
      </c>
      <c r="C57" s="10" t="inlineStr">
        <is>
          <t>Analytics / DS-output visualizations &amp; dashboards</t>
        </is>
      </c>
      <c r="D57" s="14" t="inlineStr">
        <is>
          <t>Both</t>
        </is>
      </c>
      <c r="E57" s="11" t="inlineStr">
        <is>
          <t>M</t>
        </is>
      </c>
      <c r="F57" s="10" t="inlineStr">
        <is>
          <t>4.7</t>
        </is>
      </c>
      <c r="G57" s="10" t="inlineStr">
        <is>
          <t>Not started</t>
        </is>
      </c>
      <c r="H57" s="10" t="inlineStr">
        <is>
          <t>Present model outputs in-app</t>
        </is>
      </c>
    </row>
    <row r="58">
      <c r="A58" s="10" t="inlineStr">
        <is>
          <t>4 — Data Science</t>
        </is>
      </c>
      <c r="B58" s="11" t="inlineStr">
        <is>
          <t>4.10</t>
        </is>
      </c>
      <c r="C58" s="10" t="inlineStr">
        <is>
          <t>Retire the 22 MB drug-interaction CSV dependency</t>
        </is>
      </c>
      <c r="D58" s="13" t="inlineStr">
        <is>
          <t>Both</t>
        </is>
      </c>
      <c r="E58" s="11" t="inlineStr">
        <is>
          <t>S</t>
        </is>
      </c>
      <c r="F58" s="10" t="inlineStr">
        <is>
          <t>2.1</t>
        </is>
      </c>
      <c r="G58" s="10" t="inlineStr">
        <is>
          <t>Done</t>
        </is>
      </c>
      <c r="H58" s="10" t="inlineStr">
        <is>
          <t>Cleanup after DDI removal — CSV + verify script moved to _to_delete/ on 2026-08-03; data/README.md rewritten. [verified against code 2026-08-03]</t>
        </is>
      </c>
    </row>
    <row r="59">
      <c r="A59" s="10" t="inlineStr">
        <is>
          <t>5 — Testing &amp; Verify</t>
        </is>
      </c>
      <c r="B59" s="11" t="inlineStr">
        <is>
          <t>5.1</t>
        </is>
      </c>
      <c r="C59" s="10" t="inlineStr">
        <is>
          <t>Backend unit tests per module</t>
        </is>
      </c>
      <c r="D59" s="13" t="inlineStr">
        <is>
          <t>Both</t>
        </is>
      </c>
      <c r="E59" s="11" t="inlineStr">
        <is>
          <t>M</t>
        </is>
      </c>
      <c r="F59" s="10" t="inlineStr">
        <is>
          <t>Phase 3</t>
        </is>
      </c>
      <c r="G59" s="10" t="inlineStr">
        <is>
          <t>Done</t>
        </is>
      </c>
      <c r="H59" s="10" t="inlineStr">
        <is>
          <t>39 automated tests across accounts, health, providers, nursing, adminpanel. [verified against code 2026-08-03]</t>
        </is>
      </c>
    </row>
    <row r="60">
      <c r="A60" s="10" t="inlineStr">
        <is>
          <t>5 — Testing &amp; Verify</t>
        </is>
      </c>
      <c r="B60" s="11" t="inlineStr">
        <is>
          <t>5.2</t>
        </is>
      </c>
      <c r="C60" s="10" t="inlineStr">
        <is>
          <t>RBAC / permission &amp; consent-gating tests</t>
        </is>
      </c>
      <c r="D60" s="13" t="inlineStr">
        <is>
          <t>Both</t>
        </is>
      </c>
      <c r="E60" s="11" t="inlineStr">
        <is>
          <t>M</t>
        </is>
      </c>
      <c r="F60" s="10" t="inlineStr">
        <is>
          <t>3.7</t>
        </is>
      </c>
      <c r="G60" s="10" t="inlineStr">
        <is>
          <t>Done</t>
        </is>
      </c>
      <c r="H60" s="10" t="inlineStr">
        <is>
          <t>Provider sees data only after consent — RBAC + consent-gating tests incl. mental-health exclusion assertion. [verified against code 2026-08-03]</t>
        </is>
      </c>
    </row>
    <row r="61">
      <c r="A61" s="10" t="inlineStr">
        <is>
          <t>5 — Testing &amp; Verify</t>
        </is>
      </c>
      <c r="B61" s="11" t="inlineStr">
        <is>
          <t>5.3</t>
        </is>
      </c>
      <c r="C61" s="10" t="inlineStr">
        <is>
          <t>Verify true deletion (no residual files, LLM no-retention)</t>
        </is>
      </c>
      <c r="D61" s="13" t="inlineStr">
        <is>
          <t>Both</t>
        </is>
      </c>
      <c r="E61" s="11" t="inlineStr">
        <is>
          <t>M</t>
        </is>
      </c>
      <c r="F61" s="10" t="inlineStr">
        <is>
          <t>3.6</t>
        </is>
      </c>
      <c r="G61" s="10" t="inlineStr">
        <is>
          <t>Not started</t>
        </is>
      </c>
      <c r="H61" s="10" t="inlineStr">
        <is>
          <t>Proves the privacy claim</t>
        </is>
      </c>
    </row>
    <row r="62">
      <c r="A62" s="10" t="inlineStr">
        <is>
          <t>5 — Testing &amp; Verify</t>
        </is>
      </c>
      <c r="B62" s="11" t="inlineStr">
        <is>
          <t>5.4</t>
        </is>
      </c>
      <c r="C62" s="10" t="inlineStr">
        <is>
          <t>Frontend / UI testing (all roles, responsive)</t>
        </is>
      </c>
      <c r="D62" s="14" t="inlineStr">
        <is>
          <t>Both</t>
        </is>
      </c>
      <c r="E62" s="11" t="inlineStr">
        <is>
          <t>M</t>
        </is>
      </c>
      <c r="F62" s="10" t="inlineStr">
        <is>
          <t>Phase 3</t>
        </is>
      </c>
      <c r="G62" s="10" t="inlineStr">
        <is>
          <t>Not started</t>
        </is>
      </c>
      <c r="H62" s="10" t="n"/>
    </row>
    <row r="63">
      <c r="A63" s="10" t="inlineStr">
        <is>
          <t>5 — Testing &amp; Verify</t>
        </is>
      </c>
      <c r="B63" s="11" t="inlineStr">
        <is>
          <t>5.5</t>
        </is>
      </c>
      <c r="C63" s="10" t="inlineStr">
        <is>
          <t>Accessibility check (elderly-friendly: large text, simple flows)</t>
        </is>
      </c>
      <c r="D63" s="14" t="inlineStr">
        <is>
          <t>Both</t>
        </is>
      </c>
      <c r="E63" s="11" t="inlineStr">
        <is>
          <t>S</t>
        </is>
      </c>
      <c r="F63" s="10" t="inlineStr">
        <is>
          <t>5.4</t>
        </is>
      </c>
      <c r="G63" s="10" t="inlineStr">
        <is>
          <t>Not started</t>
        </is>
      </c>
      <c r="H63" s="10" t="inlineStr">
        <is>
          <t>Target users are low-tech</t>
        </is>
      </c>
    </row>
    <row r="64">
      <c r="A64" s="10" t="inlineStr">
        <is>
          <t>5 — Testing &amp; Verify</t>
        </is>
      </c>
      <c r="B64" s="11" t="inlineStr">
        <is>
          <t>5.6</t>
        </is>
      </c>
      <c r="C64" s="10" t="inlineStr">
        <is>
          <t>End-to-end journey tests (patient, caregiver, nurse, provider, admin)</t>
        </is>
      </c>
      <c r="D64" s="12" t="inlineStr">
        <is>
          <t>Both</t>
        </is>
      </c>
      <c r="E64" s="11" t="inlineStr">
        <is>
          <t>M</t>
        </is>
      </c>
      <c r="F64" s="10" t="inlineStr">
        <is>
          <t>5.1,5.4</t>
        </is>
      </c>
      <c r="G64" s="10" t="inlineStr">
        <is>
          <t>In progress</t>
        </is>
      </c>
      <c r="H64" s="10" t="inlineStr">
        <is>
          <t>Per-flow tests exist; full 5-role journey tests outstanding (Phase 6). [verified against code 2026-08-03]</t>
        </is>
      </c>
    </row>
    <row r="65">
      <c r="A65" s="10" t="inlineStr">
        <is>
          <t>5 — Testing &amp; Verify</t>
        </is>
      </c>
      <c r="B65" s="11" t="inlineStr">
        <is>
          <t>5.7</t>
        </is>
      </c>
      <c r="C65" s="10" t="inlineStr">
        <is>
          <t>Consent audit-trail verification</t>
        </is>
      </c>
      <c r="D65" s="12" t="inlineStr">
        <is>
          <t>Both</t>
        </is>
      </c>
      <c r="E65" s="11" t="inlineStr">
        <is>
          <t>S</t>
        </is>
      </c>
      <c r="F65" s="10" t="inlineStr">
        <is>
          <t>5.2</t>
        </is>
      </c>
      <c r="G65" s="10" t="inlineStr">
        <is>
          <t>In progress</t>
        </is>
      </c>
      <c r="H65" s="10" t="inlineStr">
        <is>
          <t>AuditLog written on all key actions; dedicated audit assertions outstanding (Phase 6). [verified against code 2026-08-03]</t>
        </is>
      </c>
    </row>
    <row r="66">
      <c r="A66" s="10" t="inlineStr">
        <is>
          <t>6 — Deliverables</t>
        </is>
      </c>
      <c r="B66" s="11" t="inlineStr">
        <is>
          <t>6.1</t>
        </is>
      </c>
      <c r="C66" s="10" t="inlineStr">
        <is>
          <t>Final project report / thesis</t>
        </is>
      </c>
      <c r="D66" s="12" t="inlineStr">
        <is>
          <t>Both</t>
        </is>
      </c>
      <c r="E66" s="11" t="inlineStr">
        <is>
          <t>L</t>
        </is>
      </c>
      <c r="F66" s="10" t="inlineStr">
        <is>
          <t>Phase 4,Phase 5</t>
        </is>
      </c>
      <c r="G66" s="10" t="inlineStr">
        <is>
          <t>Not started</t>
        </is>
      </c>
      <c r="H66" s="10" t="n"/>
    </row>
    <row r="67">
      <c r="A67" s="10" t="inlineStr">
        <is>
          <t>6 — Deliverables</t>
        </is>
      </c>
      <c r="B67" s="11" t="inlineStr">
        <is>
          <t>6.2</t>
        </is>
      </c>
      <c r="C67" s="10" t="inlineStr">
        <is>
          <t>Final Demo-2 deck</t>
        </is>
      </c>
      <c r="D67" s="14" t="inlineStr">
        <is>
          <t>Both</t>
        </is>
      </c>
      <c r="E67" s="11" t="inlineStr">
        <is>
          <t>M</t>
        </is>
      </c>
      <c r="F67" s="10" t="inlineStr">
        <is>
          <t>6.1</t>
        </is>
      </c>
      <c r="G67" s="10" t="inlineStr">
        <is>
          <t>Not started</t>
        </is>
      </c>
      <c r="H67" s="10" t="n"/>
    </row>
    <row r="68">
      <c r="A68" s="10" t="inlineStr">
        <is>
          <t>6 — Deliverables</t>
        </is>
      </c>
      <c r="B68" s="11" t="inlineStr">
        <is>
          <t>6.3</t>
        </is>
      </c>
      <c r="C68" s="10" t="inlineStr">
        <is>
          <t>Maintain project diary (ongoing)</t>
        </is>
      </c>
      <c r="D68" s="12" t="inlineStr">
        <is>
          <t>Both</t>
        </is>
      </c>
      <c r="E68" s="11" t="inlineStr">
        <is>
          <t>S</t>
        </is>
      </c>
      <c r="F68" s="10" t="inlineStr">
        <is>
          <t>—</t>
        </is>
      </c>
      <c r="G68" s="10" t="inlineStr">
        <is>
          <t>In progress</t>
        </is>
      </c>
      <c r="H68" s="10" t="inlineStr">
        <is>
          <t>Update entry per work session — reports/project_diary.md maintained; add an entry per session. [verified against code 2026-08-03]</t>
        </is>
      </c>
    </row>
    <row r="69">
      <c r="A69" s="10" t="inlineStr">
        <is>
          <t>6 — Deliverables</t>
        </is>
      </c>
      <c r="B69" s="11" t="inlineStr">
        <is>
          <t>6.4</t>
        </is>
      </c>
      <c r="C69" s="10" t="inlineStr">
        <is>
          <t>Demo recording / screencast</t>
        </is>
      </c>
      <c r="D69" s="14" t="inlineStr">
        <is>
          <t>Both</t>
        </is>
      </c>
      <c r="E69" s="11" t="inlineStr">
        <is>
          <t>M</t>
        </is>
      </c>
      <c r="F69" s="10" t="inlineStr">
        <is>
          <t>5.6</t>
        </is>
      </c>
      <c r="G69" s="10" t="inlineStr">
        <is>
          <t>Not started</t>
        </is>
      </c>
      <c r="H69" s="10" t="n"/>
    </row>
    <row r="70">
      <c r="A70" s="10" t="inlineStr">
        <is>
          <t>6 — Deliverables</t>
        </is>
      </c>
      <c r="B70" s="11" t="inlineStr">
        <is>
          <t>6.5</t>
        </is>
      </c>
      <c r="C70" s="10" t="inlineStr">
        <is>
          <t>Code cleanup, docstrings, README</t>
        </is>
      </c>
      <c r="D70" s="13" t="inlineStr">
        <is>
          <t>Both</t>
        </is>
      </c>
      <c r="E70" s="11" t="inlineStr">
        <is>
          <t>S</t>
        </is>
      </c>
      <c r="F70" s="10" t="inlineStr">
        <is>
          <t>Phase 3</t>
        </is>
      </c>
      <c r="G70" s="10" t="inlineStr">
        <is>
          <t>In progress</t>
        </is>
      </c>
      <c r="H70" s="10" t="inlineStr">
        <is>
          <t>README rewritten; docstring/cleanup pass outstanding (Phase 7). [verified against code 2026-08-03]</t>
        </is>
      </c>
    </row>
    <row r="71">
      <c r="A71" s="10" t="inlineStr">
        <is>
          <t>6 — Deliverables</t>
        </is>
      </c>
      <c r="B71" s="11" t="inlineStr">
        <is>
          <t>6.6</t>
        </is>
      </c>
      <c r="C71" s="10" t="inlineStr">
        <is>
          <t>Deployment / demo setup</t>
        </is>
      </c>
      <c r="D71" s="13" t="inlineStr">
        <is>
          <t>Both</t>
        </is>
      </c>
      <c r="E71" s="11" t="inlineStr">
        <is>
          <t>M</t>
        </is>
      </c>
      <c r="F71" s="10" t="inlineStr">
        <is>
          <t>5.6</t>
        </is>
      </c>
      <c r="G71" s="10" t="inlineStr">
        <is>
          <t>Not started</t>
        </is>
      </c>
      <c r="H71" s="10" t="n"/>
    </row>
  </sheetData>
  <autoFilter ref="A1:H71"/>
  <dataValidations count="2">
    <dataValidation sqref="D2:D71" showDropDown="0" showInputMessage="0" showErrorMessage="0" allowBlank="1" type="list">
      <formula1>"Backend,Frontend,Both"</formula1>
      <formula2>0</formula2>
    </dataValidation>
    <dataValidation sqref="G2:G71" showDropDown="0" showInputMessage="0" showErrorMessage="0" allowBlank="1" type="list">
      <formula1>"Not started,In progress,Done,Blocked"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2026-07-22T10:57:14Z</dcterms:created>
  <dcterms:modified xmlns:dcterms="http://purl.org/dc/terms/" xmlns:xsi="http://www.w3.org/2001/XMLSchema-instance" xsi:type="dcterms:W3CDTF">2026-08-03T11:15:29Z</dcterms:modified>
  <cp:lastModifiedBy>Sreenanda T</cp:lastModifiedBy>
  <cp:revision>0</cp:revision>
</cp:coreProperties>
</file>