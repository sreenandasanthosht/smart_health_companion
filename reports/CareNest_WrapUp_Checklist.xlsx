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sds\project\integrated smart health tracker\smart_health_companion\reports\"/>
    </mc:Choice>
  </mc:AlternateContent>
  <xr:revisionPtr revIDLastSave="0" documentId="13_ncr:1_{6784AA36-67D8-4361-9B3B-9FFFD50E2EDC}" xr6:coauthVersionLast="47" xr6:coauthVersionMax="47" xr10:uidLastSave="{00000000-0000-0000-0000-000000000000}"/>
  <bookViews>
    <workbookView xWindow="11424" yWindow="0" windowWidth="11712" windowHeight="12336" tabRatio="500" activeTab="1" xr2:uid="{00000000-000D-0000-FFFF-FFFF00000000}"/>
  </bookViews>
  <sheets>
    <sheet name="Summary" sheetId="1" r:id="rId1"/>
    <sheet name="Checklist" sheetId="2" r:id="rId2"/>
  </sheets>
  <definedNames>
    <definedName name="_xlnm._FilterDatabase" localSheetId="1" hidden="1">Checklist!$A$1:$I$70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8" i="1"/>
  <c r="B7" i="1"/>
  <c r="B6" i="1"/>
  <c r="B5" i="1"/>
</calcChain>
</file>

<file path=xl/sharedStrings.xml><?xml version="1.0" encoding="utf-8"?>
<sst xmlns="http://schemas.openxmlformats.org/spreadsheetml/2006/main" count="555" uniqueCount="230">
  <si>
    <t>CareNest — Final Wrap-Up Checklist</t>
  </si>
  <si>
    <t>Generated 19 Aug 2026 — audited against live code, not the stale task-plan xlsx</t>
  </si>
  <si>
    <t>Tasks by owner</t>
  </si>
  <si>
    <t>Person A (Backend / Data)</t>
  </si>
  <si>
    <t>Person B (Frontend / UX / Docs)</t>
  </si>
  <si>
    <t>Shared / Together</t>
  </si>
  <si>
    <t>Total tasks</t>
  </si>
  <si>
    <t>Progress by status</t>
  </si>
  <si>
    <t>Not started</t>
  </si>
  <si>
    <t>In progress</t>
  </si>
  <si>
    <t>Done</t>
  </si>
  <si>
    <t>Blocked</t>
  </si>
  <si>
    <t>% Complete</t>
  </si>
  <si>
    <t>Tool key</t>
  </si>
  <si>
    <t>Claude Design</t>
  </si>
  <si>
    <t>Build the CareNest component kit (fields, buttons, consent modal, badges) as one reviewable source of truth.</t>
  </si>
  <si>
    <t>Cowork</t>
  </si>
  <si>
    <t>Code edits, forms, migrations, tests, docs, the final report — this session.</t>
  </si>
  <si>
    <t>Manual</t>
  </si>
  <si>
    <t>manage.py commands, clicking through roles, screenshots, recordings, author judgment calls.</t>
  </si>
  <si>
    <t>Parallel-work rules</t>
  </si>
  <si>
    <t>- Only Person A creates migrations. If B needs a model field, B asks A.</t>
  </si>
  <si>
    <t>- Only Person A touches config/settings.py.</t>
  </si>
  <si>
    <t>- Only Person B touches CSS and templates/. A touches .py files.</t>
  </si>
  <si>
    <t>- accounts/forms.py + views.py are A's; accounts/templates/ is B's — same feature, no conflict.</t>
  </si>
  <si>
    <t>- Pull before you push, every time — two active branches.</t>
  </si>
  <si>
    <t>- Nobody edits reports/ at the same time — agree an owner for the diary and report file.</t>
  </si>
  <si>
    <t>Three handoff points (B waits on A)</t>
  </si>
  <si>
    <t>1. A ships password-reset URLs -&gt; B builds the 4 templates</t>
  </si>
  <si>
    <t>2. A adds the terms checkbox field -&gt; B writes the markup and wording</t>
  </si>
  <si>
    <t>3. A's temperature/SpO2 migration lands -&gt; B adds the vitals inputs</t>
  </si>
  <si>
    <t>ID</t>
  </si>
  <si>
    <t>Task</t>
  </si>
  <si>
    <t>Owner</t>
  </si>
  <si>
    <t>Tool to use</t>
  </si>
  <si>
    <t>Priority</t>
  </si>
  <si>
    <t>Depends on / Handoff</t>
  </si>
  <si>
    <t>Notes</t>
  </si>
  <si>
    <t>Status</t>
  </si>
  <si>
    <t>PHASE 0 — Together first</t>
  </si>
  <si>
    <t>0.1</t>
  </si>
  <si>
    <t>Run manage.py migrate</t>
  </si>
  <si>
    <t>Both</t>
  </si>
  <si>
    <t>Blocking</t>
  </si>
  <si>
    <t>DB was missing ~15 tables incl. DoseTime, CarePlan, LabReport. DONE 2026-08-19.</t>
  </si>
  <si>
    <t>0.2</t>
  </si>
  <si>
    <t>Run full test suite, record pass/fail count</t>
  </si>
  <si>
    <t>Person A</t>
  </si>
  <si>
    <t>High</t>
  </si>
  <si>
    <t>Number goes in the report's testing chapter</t>
  </si>
  <si>
    <t>0.3</t>
  </si>
  <si>
    <t>Run generate_cohort then train_models</t>
  </si>
  <si>
    <t>Current metrics.json trained on 6 patients only - not usable</t>
  </si>
  <si>
    <t>0.4</t>
  </si>
  <si>
    <t>Agree final project name: CareNest vs Smart Health Companion</t>
  </si>
  <si>
    <t>Code says CareNest; decks/task plan say the other</t>
  </si>
  <si>
    <t>0.5</t>
  </si>
  <si>
    <t>Agree who owns the diary and final report file</t>
  </si>
  <si>
    <t>Medium</t>
  </si>
  <si>
    <t>A1. Auth fixes</t>
  </si>
  <si>
    <t>A1.1</t>
  </si>
  <si>
    <t>Make email unique on User model + migration</t>
  </si>
  <si>
    <t>DONE 2026-08-19 - migration 0009 applied</t>
  </si>
  <si>
    <t>A1.2</t>
  </si>
  <si>
    <t>Simplify _username_for_login now that email is unique</t>
  </si>
  <si>
    <t>Depends on A1.1</t>
  </si>
  <si>
    <t>DONE 2026-08-19</t>
  </si>
  <si>
    <t>A1.3</t>
  </si>
  <si>
    <t>Add password reset (views/urls/templates)</t>
  </si>
  <si>
    <t>Person A + Person B</t>
  </si>
  <si>
    <t>A ships URLs, then hands off to B for templates</t>
  </si>
  <si>
    <t>Biggest functional gap - no reset exists at all</t>
  </si>
  <si>
    <t>A1.4</t>
  </si>
  <si>
    <t>Add rate limiting / lockout on failed logins</t>
  </si>
  <si>
    <t>django-axes or cache-backed counter</t>
  </si>
  <si>
    <t>A1.5</t>
  </si>
  <si>
    <t>Add session security settings in settings.py</t>
  </si>
  <si>
    <t>SESSION_COOKIE_SECURE, CSRF_COOKIE_SECURE, expiry etc.</t>
  </si>
  <si>
    <t>A1.6</t>
  </si>
  <si>
    <t>Flip DEBUG default to False</t>
  </si>
  <si>
    <t>A1.7</t>
  </si>
  <si>
    <t>Move password rules into RegisterForm.clean()</t>
  </si>
  <si>
    <t>Low</t>
  </si>
  <si>
    <t>A1.8</t>
  </si>
  <si>
    <t>Move __init__ below field declarations in RegisterForm</t>
  </si>
  <si>
    <t>A1.9</t>
  </si>
  <si>
    <t>Add phone number RegexValidator</t>
  </si>
  <si>
    <t>A1.10</t>
  </si>
  <si>
    <t>Build a real ProviderOnboardingForm (validate 5 credential fields)</t>
  </si>
  <si>
    <t>A1.11</t>
  </si>
  <si>
    <t>Add terms/privacy consent checkbox at registration</t>
  </si>
  <si>
    <t>A adds field, hands off to B for markup/wording</t>
  </si>
  <si>
    <t>Log acceptance to AuditLog</t>
  </si>
  <si>
    <t>A1.12</t>
  </si>
  <si>
    <t>Note deliberate generic login error message in report</t>
  </si>
  <si>
    <t>A2. Schema fixes</t>
  </si>
  <si>
    <t>A2.1</t>
  </si>
  <si>
    <t>Add temperature and spo2 to VitalRecord</t>
  </si>
  <si>
    <t>Hands off to B for vitals form fields</t>
  </si>
  <si>
    <t>Docs claim BP/HR/temp/SpO2 but columns don't exist</t>
  </si>
  <si>
    <t>A2.2</t>
  </si>
  <si>
    <t>Make bp_systolic / bp_diastolic nullable</t>
  </si>
  <si>
    <t>A2.3</t>
  </si>
  <si>
    <t>Bound numeric vitals fields (min/max validators)</t>
  </si>
  <si>
    <t>A2.4</t>
  </si>
  <si>
    <t>Decide fate of Medication.schedule free-text field</t>
  </si>
  <si>
    <t>A2.5</t>
  </si>
  <si>
    <t>Check what HealthDocument actually stores; document it</t>
  </si>
  <si>
    <t>A2.6</t>
  </si>
  <si>
    <t>Add DB indexes (VitalRecord, MedicationDose, ConsentGrant, AuditLog)</t>
  </si>
  <si>
    <t>A2.7</t>
  </si>
  <si>
    <t>Squash or document the merged migration tree</t>
  </si>
  <si>
    <t>A2.8</t>
  </si>
  <si>
    <t>Decide MySQL vs SQLite for submission and state why</t>
  </si>
  <si>
    <t>A2.9</t>
  </si>
  <si>
    <t>Defend 10-boolean ConsentGrant design in report (no refactor)</t>
  </si>
  <si>
    <t>A3. Data science</t>
  </si>
  <si>
    <t>A3.1</t>
  </si>
  <si>
    <t>Build medication non-adherence model (4.2)</t>
  </si>
  <si>
    <t>Start after 0.3 finishes</t>
  </si>
  <si>
    <t>A3.2</t>
  </si>
  <si>
    <t>Build health-risk prediction model (4.3)</t>
  </si>
  <si>
    <t>A3.3</t>
  </si>
  <si>
    <t>Build vitals anomaly detection model (4.4)</t>
  </si>
  <si>
    <t>A3.4</t>
  </si>
  <si>
    <t>Decide on mood/sentiment model (4.6): build or document exclusion</t>
  </si>
  <si>
    <t>A3.5</t>
  </si>
  <si>
    <t>Write CRISP-DM documentation per model (4.8)</t>
  </si>
  <si>
    <t>Explicitly required for MDS grading</t>
  </si>
  <si>
    <t>A3.6</t>
  </si>
  <si>
    <t>Build monitoring engine - vitals-anomaly alerts (3.14)</t>
  </si>
  <si>
    <t>Hands off to B for dashboard 3.30</t>
  </si>
  <si>
    <t>Medication alerts already done</t>
  </si>
  <si>
    <t>A4. Tests</t>
  </si>
  <si>
    <t>A4.1</t>
  </si>
  <si>
    <t>Deletion-verification test (5.3)</t>
  </si>
  <si>
    <t>Proves the process-and-discard privacy claim</t>
  </si>
  <si>
    <t>A4.2</t>
  </si>
  <si>
    <t>End-to-end 5-role journey tests (5.6)</t>
  </si>
  <si>
    <t>A4.3</t>
  </si>
  <si>
    <t>Consent audit-trail assertions (5.7)</t>
  </si>
  <si>
    <t>A4.4</t>
  </si>
  <si>
    <t>Extend EveryPageRendersTests to new pages</t>
  </si>
  <si>
    <t>B1. Cleanup</t>
  </si>
  <si>
    <t>B1.1</t>
  </si>
  <si>
    <t>Delete ~24 stray root-level HTML mockups</t>
  </si>
  <si>
    <t>Person B</t>
  </si>
  <si>
    <t>B1.2</t>
  </si>
  <si>
    <t>Clear out venv.zip, backup tar.gz, db backup files</t>
  </si>
  <si>
    <t>B1.3</t>
  </si>
  <si>
    <t>Consolidate shc.css and dashboard CSS into one file</t>
  </si>
  <si>
    <t>B1.4</t>
  </si>
  <si>
    <t>Rename anything still called shc to CareNest</t>
  </si>
  <si>
    <t>B2. Component library</t>
  </si>
  <si>
    <t>B2.1</t>
  </si>
  <si>
    <t>Build CareNest component kit (fields, buttons, cards, modal, badges)</t>
  </si>
  <si>
    <t>B2.2</t>
  </si>
  <si>
    <t>Extract shared _consent_modal.html partial</t>
  </si>
  <si>
    <t>B2.3</t>
  </si>
  <si>
    <t>Apply kit classes across templates</t>
  </si>
  <si>
    <t>B2.4</t>
  </si>
  <si>
    <t>Diff the six provider dashboards for inconsistency</t>
  </si>
  <si>
    <t>B2.5</t>
  </si>
  <si>
    <t>Chart consistency pass (vitals + DS analytics)</t>
  </si>
  <si>
    <t>Claude Design / Cowork</t>
  </si>
  <si>
    <t>B3. Registration &amp; login UX</t>
  </si>
  <si>
    <t>B3.1</t>
  </si>
  <si>
    <t>Verify conditional field reveal works (role radio -&gt; fields)</t>
  </si>
  <si>
    <t>B3.2</t>
  </si>
  <si>
    <t>Add password strength meter</t>
  </si>
  <si>
    <t>B3.3</t>
  </si>
  <si>
    <t>Add show-password toggle</t>
  </si>
  <si>
    <t>B3.4</t>
  </si>
  <si>
    <t>Build the 4 password-reset templates</t>
  </si>
  <si>
    <t>Blocked until A ships reset URLs (A1.3)</t>
  </si>
  <si>
    <t>B3.5</t>
  </si>
  <si>
    <t>Build terms checkbox markup and wording</t>
  </si>
  <si>
    <t>Blocked until A adds form field (A1.11)</t>
  </si>
  <si>
    <t>B3.6</t>
  </si>
  <si>
    <t>Add temperature/SpO2 inputs to vitals form</t>
  </si>
  <si>
    <t>Blocked until A's migration lands (A2.1)</t>
  </si>
  <si>
    <t>B4. Field audit</t>
  </si>
  <si>
    <t>B4.1</t>
  </si>
  <si>
    <t>Build the page-by-page field audit sheet (24+ pages)</t>
  </si>
  <si>
    <t>B4.2</t>
  </si>
  <si>
    <t>Verify every field has a bound &lt;label&gt;</t>
  </si>
  <si>
    <t>B4.3</t>
  </si>
  <si>
    <t>Rewrite error messages in plain language</t>
  </si>
  <si>
    <t>B4.4</t>
  </si>
  <si>
    <t>Verify every page renders/403s correctly per role</t>
  </si>
  <si>
    <t>B4.5</t>
  </si>
  <si>
    <t>Report bare request.POST.get() views (no Form class) to A</t>
  </si>
  <si>
    <t>B5. UX passes</t>
  </si>
  <si>
    <t>B5.1</t>
  </si>
  <si>
    <t>Accessibility pass (font size, tap targets, contrast, focus)</t>
  </si>
  <si>
    <t>Manual + Claude Design</t>
  </si>
  <si>
    <t>Target users are elderly/low-tech</t>
  </si>
  <si>
    <t>B5.2</t>
  </si>
  <si>
    <t>Count consent-modal fatigue across a realistic session</t>
  </si>
  <si>
    <t>B5.3</t>
  </si>
  <si>
    <t>Walk through error-recovery paths (OCR miss, rejected link, etc.)</t>
  </si>
  <si>
    <t>B5.4</t>
  </si>
  <si>
    <t>Check empty states on all pages</t>
  </si>
  <si>
    <t>B5.5</t>
  </si>
  <si>
    <t>Test all five dashboards at 375px mobile width</t>
  </si>
  <si>
    <t>B6. Documentation &amp; assets</t>
  </si>
  <si>
    <t>B6.1</t>
  </si>
  <si>
    <t>Screenshot every page for report appendix</t>
  </si>
  <si>
    <t>Do after Phase 0 migrate</t>
  </si>
  <si>
    <t>B6.2</t>
  </si>
  <si>
    <t>Update task tracker xlsx to match real status</t>
  </si>
  <si>
    <t>B6.3</t>
  </si>
  <si>
    <t>Add project diary entries for 17-18 August</t>
  </si>
  <si>
    <t>B6.4</t>
  </si>
  <si>
    <t>Update Demo-2 deck</t>
  </si>
  <si>
    <t>B6.5</t>
  </si>
  <si>
    <t>Record demo screencast</t>
  </si>
  <si>
    <t>Needs a working system - do late</t>
  </si>
  <si>
    <t>CONVERGE — Together at the end</t>
  </si>
  <si>
    <t>C.1</t>
  </si>
  <si>
    <t>Deployment / demo setup</t>
  </si>
  <si>
    <t>Person B verifies</t>
  </si>
  <si>
    <t>C.2</t>
  </si>
  <si>
    <t>Write final project report</t>
  </si>
  <si>
    <t>A: architecture/data/DS/testing. B: UI/UX/journeys/figures.</t>
  </si>
  <si>
    <t>One person owns the merge</t>
  </si>
  <si>
    <t>C.3</t>
  </si>
  <si>
    <t>Final read-through together</t>
  </si>
  <si>
    <t>Check name consistency, numbers match generated metrics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</si>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</sst>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808080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4" customWidth="1"/>
    <col min="3" max="3" width="40" customWidth="1"/>
  </cols>
  <sheetData>
    <row r="1" spans="1:3" ht="19.5" customHeight="1" x14ac:dyDescent="0.4">
      <c r="A1" s="5" t="s">
        <v>0</v>
      </c>
    </row>
    <row r="2" spans="1:3" ht="15" customHeight="1" x14ac:dyDescent="0.3">
      <c r="A2" s="6" t="s">
        <v>1</v>
      </c>
    </row>
    <row r="4" spans="1:3" ht="15" customHeight="1" x14ac:dyDescent="0.3">
      <c r="A4" s="4" t="s">
        <v>2</v>
      </c>
      <c r="B4" s="4"/>
      <c r="C4" s="4"/>
    </row>
    <row r="5" spans="1:3" ht="15" customHeight="1" x14ac:dyDescent="0.3">
      <c r="A5" s="7" t="s">
        <v>3</v>
      </c>
      <c r="B5" s="8">
        <f>COUNTIF(Checklist!D2:D70,"Person A")+COUNTIF(Checklist!D2:D70,"Person A + Person B")</f>
        <v>35</v>
      </c>
    </row>
    <row r="6" spans="1:3" ht="15" customHeight="1" x14ac:dyDescent="0.3">
      <c r="A6" s="7" t="s">
        <v>4</v>
      </c>
      <c r="B6" s="8">
        <f>COUNTIF(Checklist!D2:D70,"Person B")+COUNTIF(Checklist!D2:D70,"Person A + Person B")</f>
        <v>33</v>
      </c>
    </row>
    <row r="7" spans="1:3" ht="15" customHeight="1" x14ac:dyDescent="0.3">
      <c r="A7" s="7" t="s">
        <v>5</v>
      </c>
      <c r="B7" s="8">
        <f>COUNTIF(Checklist!D2:D70,"Both")+COUNTIF(Checklist!D2:D70,"Person A + Person B")</f>
        <v>7</v>
      </c>
    </row>
    <row r="8" spans="1:3" ht="15" customHeight="1" x14ac:dyDescent="0.3">
      <c r="A8" s="7" t="s">
        <v>6</v>
      </c>
      <c r="B8" s="8">
        <f>COUNTA(Checklist!C2:C70)</f>
        <v>69</v>
      </c>
    </row>
    <row r="10" spans="1:3" ht="15" customHeight="1" x14ac:dyDescent="0.3">
      <c r="A10" s="4" t="s">
        <v>7</v>
      </c>
      <c r="B10" s="4"/>
      <c r="C10" s="4"/>
    </row>
    <row r="11" spans="1:3" ht="15" customHeight="1" x14ac:dyDescent="0.3">
      <c r="A11" s="7" t="s">
        <v>8</v>
      </c>
      <c r="B11" s="8">
        <f>COUNTIF(Checklist!I2:I70,"Not started")</f>
        <v>66</v>
      </c>
    </row>
    <row r="12" spans="1:3" ht="15" customHeight="1" x14ac:dyDescent="0.3">
      <c r="A12" s="7" t="s">
        <v>9</v>
      </c>
      <c r="B12" s="8">
        <f>COUNTIF(Checklist!I2:I70,"In progress")</f>
        <v>0</v>
      </c>
    </row>
    <row r="13" spans="1:3" ht="15" customHeight="1" x14ac:dyDescent="0.3">
      <c r="A13" s="7" t="s">
        <v>10</v>
      </c>
      <c r="B13" s="8">
        <f>COUNTIF(Checklist!I2:I70,"Done")</f>
        <v>3</v>
      </c>
    </row>
    <row r="14" spans="1:3" ht="15" customHeight="1" x14ac:dyDescent="0.3">
      <c r="A14" s="7" t="s">
        <v>11</v>
      </c>
      <c r="B14" s="8">
        <f>COUNTIF(Checklist!I2:I70,"Blocked")</f>
        <v>0</v>
      </c>
    </row>
    <row r="15" spans="1:3" ht="15" customHeight="1" x14ac:dyDescent="0.3">
      <c r="A15" s="8" t="s">
        <v>12</v>
      </c>
      <c r="B15" s="9">
        <f>IFERROR(COUNTIF(Checklist!I2:I70,"Done")/COUNTA(Checklist!C2:C70),0)</f>
        <v>4.3478260869565216E-2</v>
      </c>
    </row>
    <row r="17" spans="1:3" ht="15" customHeight="1" x14ac:dyDescent="0.3">
      <c r="A17" s="4" t="s">
        <v>13</v>
      </c>
      <c r="B17" s="4"/>
      <c r="C17" s="4"/>
    </row>
    <row r="18" spans="1:3" ht="23.25" customHeight="1" x14ac:dyDescent="0.3">
      <c r="A18" s="8" t="s">
        <v>14</v>
      </c>
      <c r="B18" s="3" t="s">
        <v>15</v>
      </c>
      <c r="C18" s="3"/>
    </row>
    <row r="19" spans="1:3" ht="23.25" customHeight="1" x14ac:dyDescent="0.3">
      <c r="A19" s="8" t="s">
        <v>16</v>
      </c>
      <c r="B19" s="3" t="s">
        <v>17</v>
      </c>
      <c r="C19" s="3"/>
    </row>
    <row r="20" spans="1:3" ht="23.25" customHeight="1" x14ac:dyDescent="0.3">
      <c r="A20" s="8" t="s">
        <v>18</v>
      </c>
      <c r="B20" s="3" t="s">
        <v>19</v>
      </c>
      <c r="C20" s="3"/>
    </row>
    <row r="22" spans="1:3" ht="15" customHeight="1" x14ac:dyDescent="0.3">
      <c r="A22" s="4" t="s">
        <v>20</v>
      </c>
      <c r="B22" s="4"/>
      <c r="C22" s="4"/>
    </row>
    <row r="23" spans="1:3" ht="15" customHeight="1" x14ac:dyDescent="0.3">
      <c r="A23" s="2" t="s">
        <v>21</v>
      </c>
      <c r="B23" s="2"/>
      <c r="C23" s="2"/>
    </row>
    <row r="24" spans="1:3" ht="15" customHeight="1" x14ac:dyDescent="0.3">
      <c r="A24" s="2" t="s">
        <v>22</v>
      </c>
      <c r="B24" s="2"/>
      <c r="C24" s="2"/>
    </row>
    <row r="25" spans="1:3" ht="15" customHeight="1" x14ac:dyDescent="0.3">
      <c r="A25" s="2" t="s">
        <v>23</v>
      </c>
      <c r="B25" s="2"/>
      <c r="C25" s="2"/>
    </row>
    <row r="26" spans="1:3" ht="15" customHeight="1" x14ac:dyDescent="0.3">
      <c r="A26" s="2" t="s">
        <v>24</v>
      </c>
      <c r="B26" s="2"/>
      <c r="C26" s="2"/>
    </row>
    <row r="27" spans="1:3" ht="15" customHeight="1" x14ac:dyDescent="0.3">
      <c r="A27" s="2" t="s">
        <v>25</v>
      </c>
      <c r="B27" s="2"/>
      <c r="C27" s="2"/>
    </row>
    <row r="28" spans="1:3" ht="15" customHeight="1" x14ac:dyDescent="0.3">
      <c r="A28" s="2" t="s">
        <v>26</v>
      </c>
      <c r="B28" s="2"/>
      <c r="C28" s="2"/>
    </row>
    <row r="30" spans="1:3" ht="15" customHeight="1" x14ac:dyDescent="0.3">
      <c r="A30" s="4" t="s">
        <v>27</v>
      </c>
      <c r="B30" s="4"/>
      <c r="C30" s="4"/>
    </row>
    <row r="31" spans="1:3" ht="15" customHeight="1" x14ac:dyDescent="0.3">
      <c r="A31" s="1" t="s">
        <v>28</v>
      </c>
      <c r="B31" s="1"/>
      <c r="C31" s="1"/>
    </row>
    <row r="32" spans="1:3" ht="15" customHeight="1" x14ac:dyDescent="0.3">
      <c r="A32" s="1" t="s">
        <v>29</v>
      </c>
      <c r="B32" s="1"/>
      <c r="C32" s="1"/>
    </row>
    <row r="33" spans="1:3" ht="15" customHeight="1" x14ac:dyDescent="0.3">
      <c r="A33" s="1" t="s">
        <v>30</v>
      </c>
      <c r="B33" s="1"/>
      <c r="C33" s="1"/>
    </row>
  </sheetData>
  <mergeCells count="17">
    <mergeCell ref="A32:C32"/>
    <mergeCell ref="A33:C33"/>
    <mergeCell ref="A26:C26"/>
    <mergeCell ref="A27:C27"/>
    <mergeCell ref="A28:C28"/>
    <mergeCell ref="A30:C30"/>
    <mergeCell ref="A31:C31"/>
    <mergeCell ref="B20:C20"/>
    <mergeCell ref="A22:C22"/>
    <mergeCell ref="A23:C23"/>
    <mergeCell ref="A24:C24"/>
    <mergeCell ref="A25:C25"/>
    <mergeCell ref="A4:C4"/>
    <mergeCell ref="A10:C10"/>
    <mergeCell ref="A17:C17"/>
    <mergeCell ref="B18:C18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7" customWidth="1"/>
    <col min="3" max="3" width="52" customWidth="1"/>
    <col min="4" max="5" width="18" customWidth="1"/>
    <col min="6" max="6" width="10" customWidth="1"/>
    <col min="7" max="7" width="30" customWidth="1"/>
    <col min="8" max="8" width="40" customWidth="1"/>
    <col min="9" max="9" width="14" customWidth="1"/>
  </cols>
  <sheetData>
    <row r="1" spans="1:9" ht="27.75" customHeight="1" x14ac:dyDescent="0.3">
      <c r="A1" s="10" t="s">
        <v>229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</row>
    <row r="2" spans="1:9" ht="23.25" customHeight="1" x14ac:dyDescent="0.3">
      <c r="A2" s="11" t="s">
        <v>39</v>
      </c>
      <c r="B2" s="11" t="s">
        <v>40</v>
      </c>
      <c r="C2" s="11" t="s">
        <v>41</v>
      </c>
      <c r="D2" s="12" t="s">
        <v>42</v>
      </c>
      <c r="E2" s="11" t="s">
        <v>18</v>
      </c>
      <c r="F2" s="11" t="s">
        <v>43</v>
      </c>
      <c r="G2" s="11"/>
      <c r="H2" s="11" t="s">
        <v>44</v>
      </c>
      <c r="I2" s="11" t="s">
        <v>10</v>
      </c>
    </row>
    <row r="3" spans="1:9" ht="15" customHeight="1" x14ac:dyDescent="0.3">
      <c r="A3" s="11" t="s">
        <v>39</v>
      </c>
      <c r="B3" s="11" t="s">
        <v>45</v>
      </c>
      <c r="C3" s="11" t="s">
        <v>46</v>
      </c>
      <c r="D3" s="13" t="s">
        <v>47</v>
      </c>
      <c r="E3" s="11" t="s">
        <v>18</v>
      </c>
      <c r="F3" s="11" t="s">
        <v>48</v>
      </c>
      <c r="G3" s="11"/>
      <c r="H3" s="11" t="s">
        <v>49</v>
      </c>
      <c r="I3" s="11" t="s">
        <v>8</v>
      </c>
    </row>
    <row r="4" spans="1:9" ht="23.25" customHeight="1" x14ac:dyDescent="0.3">
      <c r="A4" s="11" t="s">
        <v>39</v>
      </c>
      <c r="B4" s="11" t="s">
        <v>50</v>
      </c>
      <c r="C4" s="11" t="s">
        <v>51</v>
      </c>
      <c r="D4" s="13" t="s">
        <v>47</v>
      </c>
      <c r="E4" s="11" t="s">
        <v>18</v>
      </c>
      <c r="F4" s="11" t="s">
        <v>48</v>
      </c>
      <c r="G4" s="11"/>
      <c r="H4" s="11" t="s">
        <v>52</v>
      </c>
      <c r="I4" s="11" t="s">
        <v>8</v>
      </c>
    </row>
    <row r="5" spans="1:9" ht="23.25" customHeight="1" x14ac:dyDescent="0.3">
      <c r="A5" s="11" t="s">
        <v>39</v>
      </c>
      <c r="B5" s="11" t="s">
        <v>53</v>
      </c>
      <c r="C5" s="11" t="s">
        <v>54</v>
      </c>
      <c r="D5" s="12" t="s">
        <v>42</v>
      </c>
      <c r="E5" s="11" t="s">
        <v>18</v>
      </c>
      <c r="F5" s="11" t="s">
        <v>48</v>
      </c>
      <c r="G5" s="11"/>
      <c r="H5" s="11" t="s">
        <v>55</v>
      </c>
      <c r="I5" s="11" t="s">
        <v>8</v>
      </c>
    </row>
    <row r="6" spans="1:9" ht="15" customHeight="1" x14ac:dyDescent="0.3">
      <c r="A6" s="11" t="s">
        <v>39</v>
      </c>
      <c r="B6" s="11" t="s">
        <v>56</v>
      </c>
      <c r="C6" s="11" t="s">
        <v>57</v>
      </c>
      <c r="D6" s="12" t="s">
        <v>42</v>
      </c>
      <c r="E6" s="11" t="s">
        <v>18</v>
      </c>
      <c r="F6" s="11" t="s">
        <v>58</v>
      </c>
      <c r="G6" s="11"/>
      <c r="H6" s="11"/>
      <c r="I6" s="11" t="s">
        <v>8</v>
      </c>
    </row>
    <row r="7" spans="1:9" ht="15" customHeight="1" x14ac:dyDescent="0.3">
      <c r="A7" s="11" t="s">
        <v>59</v>
      </c>
      <c r="B7" s="11" t="s">
        <v>60</v>
      </c>
      <c r="C7" s="11" t="s">
        <v>61</v>
      </c>
      <c r="D7" s="13" t="s">
        <v>47</v>
      </c>
      <c r="E7" s="11" t="s">
        <v>16</v>
      </c>
      <c r="F7" s="11" t="s">
        <v>48</v>
      </c>
      <c r="G7" s="11"/>
      <c r="H7" s="11" t="s">
        <v>62</v>
      </c>
      <c r="I7" s="11" t="s">
        <v>10</v>
      </c>
    </row>
    <row r="8" spans="1:9" ht="15" customHeight="1" x14ac:dyDescent="0.3">
      <c r="A8" s="11" t="s">
        <v>59</v>
      </c>
      <c r="B8" s="11" t="s">
        <v>63</v>
      </c>
      <c r="C8" s="11" t="s">
        <v>64</v>
      </c>
      <c r="D8" s="13" t="s">
        <v>47</v>
      </c>
      <c r="E8" s="11" t="s">
        <v>16</v>
      </c>
      <c r="F8" s="11" t="s">
        <v>58</v>
      </c>
      <c r="G8" s="11" t="s">
        <v>65</v>
      </c>
      <c r="H8" s="11" t="s">
        <v>66</v>
      </c>
      <c r="I8" s="11" t="s">
        <v>10</v>
      </c>
    </row>
    <row r="9" spans="1:9" ht="23.25" customHeight="1" x14ac:dyDescent="0.3">
      <c r="A9" s="11" t="s">
        <v>59</v>
      </c>
      <c r="B9" s="11" t="s">
        <v>67</v>
      </c>
      <c r="C9" s="11" t="s">
        <v>68</v>
      </c>
      <c r="D9" s="12" t="s">
        <v>69</v>
      </c>
      <c r="E9" s="11" t="s">
        <v>16</v>
      </c>
      <c r="F9" s="11" t="s">
        <v>48</v>
      </c>
      <c r="G9" s="11" t="s">
        <v>70</v>
      </c>
      <c r="H9" s="11" t="s">
        <v>71</v>
      </c>
      <c r="I9" s="11" t="s">
        <v>8</v>
      </c>
    </row>
    <row r="10" spans="1:9" ht="15" customHeight="1" x14ac:dyDescent="0.3">
      <c r="A10" s="11" t="s">
        <v>59</v>
      </c>
      <c r="B10" s="11" t="s">
        <v>72</v>
      </c>
      <c r="C10" s="11" t="s">
        <v>73</v>
      </c>
      <c r="D10" s="13" t="s">
        <v>47</v>
      </c>
      <c r="E10" s="11" t="s">
        <v>16</v>
      </c>
      <c r="F10" s="11" t="s">
        <v>48</v>
      </c>
      <c r="G10" s="11"/>
      <c r="H10" s="11" t="s">
        <v>74</v>
      </c>
      <c r="I10" s="11" t="s">
        <v>8</v>
      </c>
    </row>
    <row r="11" spans="1:9" ht="23.25" customHeight="1" x14ac:dyDescent="0.3">
      <c r="A11" s="11" t="s">
        <v>59</v>
      </c>
      <c r="B11" s="11" t="s">
        <v>75</v>
      </c>
      <c r="C11" s="11" t="s">
        <v>76</v>
      </c>
      <c r="D11" s="13" t="s">
        <v>47</v>
      </c>
      <c r="E11" s="11" t="s">
        <v>16</v>
      </c>
      <c r="F11" s="11" t="s">
        <v>58</v>
      </c>
      <c r="G11" s="11"/>
      <c r="H11" s="11" t="s">
        <v>77</v>
      </c>
      <c r="I11" s="11" t="s">
        <v>8</v>
      </c>
    </row>
    <row r="12" spans="1:9" ht="15" customHeight="1" x14ac:dyDescent="0.3">
      <c r="A12" s="11" t="s">
        <v>59</v>
      </c>
      <c r="B12" s="11" t="s">
        <v>78</v>
      </c>
      <c r="C12" s="11" t="s">
        <v>79</v>
      </c>
      <c r="D12" s="13" t="s">
        <v>47</v>
      </c>
      <c r="E12" s="11" t="s">
        <v>16</v>
      </c>
      <c r="F12" s="11" t="s">
        <v>58</v>
      </c>
      <c r="G12" s="11"/>
      <c r="H12" s="11"/>
      <c r="I12" s="11" t="s">
        <v>8</v>
      </c>
    </row>
    <row r="13" spans="1:9" ht="15" customHeight="1" x14ac:dyDescent="0.3">
      <c r="A13" s="11" t="s">
        <v>59</v>
      </c>
      <c r="B13" s="11" t="s">
        <v>80</v>
      </c>
      <c r="C13" s="11" t="s">
        <v>81</v>
      </c>
      <c r="D13" s="13" t="s">
        <v>47</v>
      </c>
      <c r="E13" s="11" t="s">
        <v>16</v>
      </c>
      <c r="F13" s="11" t="s">
        <v>82</v>
      </c>
      <c r="G13" s="11"/>
      <c r="H13" s="11"/>
      <c r="I13" s="11" t="s">
        <v>8</v>
      </c>
    </row>
    <row r="14" spans="1:9" ht="15" customHeight="1" x14ac:dyDescent="0.3">
      <c r="A14" s="11" t="s">
        <v>59</v>
      </c>
      <c r="B14" s="11" t="s">
        <v>83</v>
      </c>
      <c r="C14" s="11" t="s">
        <v>84</v>
      </c>
      <c r="D14" s="13" t="s">
        <v>47</v>
      </c>
      <c r="E14" s="11" t="s">
        <v>16</v>
      </c>
      <c r="F14" s="11" t="s">
        <v>82</v>
      </c>
      <c r="G14" s="11"/>
      <c r="H14" s="11"/>
      <c r="I14" s="11" t="s">
        <v>8</v>
      </c>
    </row>
    <row r="15" spans="1:9" ht="15" customHeight="1" x14ac:dyDescent="0.3">
      <c r="A15" s="11" t="s">
        <v>59</v>
      </c>
      <c r="B15" s="11" t="s">
        <v>85</v>
      </c>
      <c r="C15" s="11" t="s">
        <v>86</v>
      </c>
      <c r="D15" s="13" t="s">
        <v>47</v>
      </c>
      <c r="E15" s="11" t="s">
        <v>16</v>
      </c>
      <c r="F15" s="11" t="s">
        <v>58</v>
      </c>
      <c r="G15" s="11"/>
      <c r="H15" s="11"/>
      <c r="I15" s="11" t="s">
        <v>8</v>
      </c>
    </row>
    <row r="16" spans="1:9" ht="23.25" customHeight="1" x14ac:dyDescent="0.3">
      <c r="A16" s="11" t="s">
        <v>59</v>
      </c>
      <c r="B16" s="11" t="s">
        <v>87</v>
      </c>
      <c r="C16" s="11" t="s">
        <v>88</v>
      </c>
      <c r="D16" s="13" t="s">
        <v>47</v>
      </c>
      <c r="E16" s="11" t="s">
        <v>16</v>
      </c>
      <c r="F16" s="11" t="s">
        <v>58</v>
      </c>
      <c r="G16" s="11"/>
      <c r="H16" s="11"/>
      <c r="I16" s="11" t="s">
        <v>8</v>
      </c>
    </row>
    <row r="17" spans="1:9" ht="23.25" customHeight="1" x14ac:dyDescent="0.3">
      <c r="A17" s="11" t="s">
        <v>59</v>
      </c>
      <c r="B17" s="11" t="s">
        <v>89</v>
      </c>
      <c r="C17" s="11" t="s">
        <v>90</v>
      </c>
      <c r="D17" s="12" t="s">
        <v>69</v>
      </c>
      <c r="E17" s="11" t="s">
        <v>16</v>
      </c>
      <c r="F17" s="11" t="s">
        <v>48</v>
      </c>
      <c r="G17" s="11" t="s">
        <v>91</v>
      </c>
      <c r="H17" s="11" t="s">
        <v>92</v>
      </c>
      <c r="I17" s="11" t="s">
        <v>8</v>
      </c>
    </row>
    <row r="18" spans="1:9" ht="15" customHeight="1" x14ac:dyDescent="0.3">
      <c r="A18" s="11" t="s">
        <v>59</v>
      </c>
      <c r="B18" s="11" t="s">
        <v>93</v>
      </c>
      <c r="C18" s="11" t="s">
        <v>94</v>
      </c>
      <c r="D18" s="13" t="s">
        <v>47</v>
      </c>
      <c r="E18" s="11" t="s">
        <v>16</v>
      </c>
      <c r="F18" s="11" t="s">
        <v>82</v>
      </c>
      <c r="G18" s="11"/>
      <c r="H18" s="11"/>
      <c r="I18" s="11" t="s">
        <v>8</v>
      </c>
    </row>
    <row r="19" spans="1:9" ht="23.25" customHeight="1" x14ac:dyDescent="0.3">
      <c r="A19" s="11" t="s">
        <v>95</v>
      </c>
      <c r="B19" s="11" t="s">
        <v>96</v>
      </c>
      <c r="C19" s="11" t="s">
        <v>97</v>
      </c>
      <c r="D19" s="13" t="s">
        <v>47</v>
      </c>
      <c r="E19" s="11" t="s">
        <v>16</v>
      </c>
      <c r="F19" s="11" t="s">
        <v>48</v>
      </c>
      <c r="G19" s="11" t="s">
        <v>98</v>
      </c>
      <c r="H19" s="11" t="s">
        <v>99</v>
      </c>
      <c r="I19" s="11" t="s">
        <v>8</v>
      </c>
    </row>
    <row r="20" spans="1:9" ht="15" customHeight="1" x14ac:dyDescent="0.3">
      <c r="A20" s="11" t="s">
        <v>95</v>
      </c>
      <c r="B20" s="11" t="s">
        <v>100</v>
      </c>
      <c r="C20" s="11" t="s">
        <v>101</v>
      </c>
      <c r="D20" s="13" t="s">
        <v>47</v>
      </c>
      <c r="E20" s="11" t="s">
        <v>16</v>
      </c>
      <c r="F20" s="11" t="s">
        <v>58</v>
      </c>
      <c r="G20" s="11"/>
      <c r="H20" s="11"/>
      <c r="I20" s="11" t="s">
        <v>8</v>
      </c>
    </row>
    <row r="21" spans="1:9" ht="15" customHeight="1" x14ac:dyDescent="0.3">
      <c r="A21" s="11" t="s">
        <v>95</v>
      </c>
      <c r="B21" s="11" t="s">
        <v>102</v>
      </c>
      <c r="C21" s="11" t="s">
        <v>103</v>
      </c>
      <c r="D21" s="13" t="s">
        <v>47</v>
      </c>
      <c r="E21" s="11" t="s">
        <v>16</v>
      </c>
      <c r="F21" s="11" t="s">
        <v>58</v>
      </c>
      <c r="G21" s="11"/>
      <c r="H21" s="11"/>
      <c r="I21" s="11" t="s">
        <v>8</v>
      </c>
    </row>
    <row r="22" spans="1:9" ht="15" customHeight="1" x14ac:dyDescent="0.3">
      <c r="A22" s="11" t="s">
        <v>95</v>
      </c>
      <c r="B22" s="11" t="s">
        <v>104</v>
      </c>
      <c r="C22" s="11" t="s">
        <v>105</v>
      </c>
      <c r="D22" s="13" t="s">
        <v>47</v>
      </c>
      <c r="E22" s="11" t="s">
        <v>16</v>
      </c>
      <c r="F22" s="11" t="s">
        <v>82</v>
      </c>
      <c r="G22" s="11"/>
      <c r="H22" s="11"/>
      <c r="I22" s="11" t="s">
        <v>8</v>
      </c>
    </row>
    <row r="23" spans="1:9" ht="15" customHeight="1" x14ac:dyDescent="0.3">
      <c r="A23" s="11" t="s">
        <v>95</v>
      </c>
      <c r="B23" s="11" t="s">
        <v>106</v>
      </c>
      <c r="C23" s="11" t="s">
        <v>107</v>
      </c>
      <c r="D23" s="13" t="s">
        <v>47</v>
      </c>
      <c r="E23" s="11" t="s">
        <v>16</v>
      </c>
      <c r="F23" s="11" t="s">
        <v>58</v>
      </c>
      <c r="G23" s="11"/>
      <c r="H23" s="11"/>
      <c r="I23" s="11" t="s">
        <v>8</v>
      </c>
    </row>
    <row r="24" spans="1:9" ht="23.25" customHeight="1" x14ac:dyDescent="0.3">
      <c r="A24" s="11" t="s">
        <v>95</v>
      </c>
      <c r="B24" s="11" t="s">
        <v>108</v>
      </c>
      <c r="C24" s="11" t="s">
        <v>109</v>
      </c>
      <c r="D24" s="13" t="s">
        <v>47</v>
      </c>
      <c r="E24" s="11" t="s">
        <v>16</v>
      </c>
      <c r="F24" s="11" t="s">
        <v>58</v>
      </c>
      <c r="G24" s="11"/>
      <c r="H24" s="11"/>
      <c r="I24" s="11" t="s">
        <v>8</v>
      </c>
    </row>
    <row r="25" spans="1:9" ht="15" customHeight="1" x14ac:dyDescent="0.3">
      <c r="A25" s="11" t="s">
        <v>95</v>
      </c>
      <c r="B25" s="11" t="s">
        <v>110</v>
      </c>
      <c r="C25" s="11" t="s">
        <v>111</v>
      </c>
      <c r="D25" s="13" t="s">
        <v>47</v>
      </c>
      <c r="E25" s="11" t="s">
        <v>16</v>
      </c>
      <c r="F25" s="11" t="s">
        <v>82</v>
      </c>
      <c r="G25" s="11"/>
      <c r="H25" s="11"/>
      <c r="I25" s="11" t="s">
        <v>8</v>
      </c>
    </row>
    <row r="26" spans="1:9" ht="15" customHeight="1" x14ac:dyDescent="0.3">
      <c r="A26" s="11" t="s">
        <v>95</v>
      </c>
      <c r="B26" s="11" t="s">
        <v>112</v>
      </c>
      <c r="C26" s="11" t="s">
        <v>113</v>
      </c>
      <c r="D26" s="13" t="s">
        <v>47</v>
      </c>
      <c r="E26" s="11" t="s">
        <v>16</v>
      </c>
      <c r="F26" s="11" t="s">
        <v>82</v>
      </c>
      <c r="G26" s="11"/>
      <c r="H26" s="11"/>
      <c r="I26" s="11" t="s">
        <v>8</v>
      </c>
    </row>
    <row r="27" spans="1:9" ht="15" customHeight="1" x14ac:dyDescent="0.3">
      <c r="A27" s="11" t="s">
        <v>95</v>
      </c>
      <c r="B27" s="11" t="s">
        <v>114</v>
      </c>
      <c r="C27" s="11" t="s">
        <v>115</v>
      </c>
      <c r="D27" s="13" t="s">
        <v>47</v>
      </c>
      <c r="E27" s="11" t="s">
        <v>16</v>
      </c>
      <c r="F27" s="11" t="s">
        <v>82</v>
      </c>
      <c r="G27" s="11"/>
      <c r="H27" s="11"/>
      <c r="I27" s="11" t="s">
        <v>8</v>
      </c>
    </row>
    <row r="28" spans="1:9" ht="15" customHeight="1" x14ac:dyDescent="0.3">
      <c r="A28" s="11" t="s">
        <v>116</v>
      </c>
      <c r="B28" s="11" t="s">
        <v>117</v>
      </c>
      <c r="C28" s="11" t="s">
        <v>118</v>
      </c>
      <c r="D28" s="13" t="s">
        <v>47</v>
      </c>
      <c r="E28" s="11" t="s">
        <v>16</v>
      </c>
      <c r="F28" s="11" t="s">
        <v>48</v>
      </c>
      <c r="G28" s="11" t="s">
        <v>119</v>
      </c>
      <c r="H28" s="11"/>
      <c r="I28" s="11" t="s">
        <v>8</v>
      </c>
    </row>
    <row r="29" spans="1:9" ht="15" customHeight="1" x14ac:dyDescent="0.3">
      <c r="A29" s="11" t="s">
        <v>116</v>
      </c>
      <c r="B29" s="11" t="s">
        <v>120</v>
      </c>
      <c r="C29" s="11" t="s">
        <v>121</v>
      </c>
      <c r="D29" s="13" t="s">
        <v>47</v>
      </c>
      <c r="E29" s="11" t="s">
        <v>16</v>
      </c>
      <c r="F29" s="11" t="s">
        <v>48</v>
      </c>
      <c r="G29" s="11" t="s">
        <v>119</v>
      </c>
      <c r="H29" s="11"/>
      <c r="I29" s="11" t="s">
        <v>8</v>
      </c>
    </row>
    <row r="30" spans="1:9" ht="15" customHeight="1" x14ac:dyDescent="0.3">
      <c r="A30" s="11" t="s">
        <v>116</v>
      </c>
      <c r="B30" s="11" t="s">
        <v>122</v>
      </c>
      <c r="C30" s="11" t="s">
        <v>123</v>
      </c>
      <c r="D30" s="13" t="s">
        <v>47</v>
      </c>
      <c r="E30" s="11" t="s">
        <v>16</v>
      </c>
      <c r="F30" s="11" t="s">
        <v>48</v>
      </c>
      <c r="G30" s="11" t="s">
        <v>119</v>
      </c>
      <c r="H30" s="11"/>
      <c r="I30" s="11" t="s">
        <v>8</v>
      </c>
    </row>
    <row r="31" spans="1:9" ht="23.25" customHeight="1" x14ac:dyDescent="0.3">
      <c r="A31" s="11" t="s">
        <v>116</v>
      </c>
      <c r="B31" s="11" t="s">
        <v>124</v>
      </c>
      <c r="C31" s="11" t="s">
        <v>125</v>
      </c>
      <c r="D31" s="13" t="s">
        <v>47</v>
      </c>
      <c r="E31" s="11" t="s">
        <v>16</v>
      </c>
      <c r="F31" s="11" t="s">
        <v>58</v>
      </c>
      <c r="G31" s="11"/>
      <c r="H31" s="11"/>
      <c r="I31" s="11" t="s">
        <v>8</v>
      </c>
    </row>
    <row r="32" spans="1:9" ht="15" customHeight="1" x14ac:dyDescent="0.3">
      <c r="A32" s="11" t="s">
        <v>116</v>
      </c>
      <c r="B32" s="11" t="s">
        <v>126</v>
      </c>
      <c r="C32" s="11" t="s">
        <v>127</v>
      </c>
      <c r="D32" s="13" t="s">
        <v>47</v>
      </c>
      <c r="E32" s="11" t="s">
        <v>16</v>
      </c>
      <c r="F32" s="11" t="s">
        <v>48</v>
      </c>
      <c r="G32" s="11"/>
      <c r="H32" s="11" t="s">
        <v>128</v>
      </c>
      <c r="I32" s="11" t="s">
        <v>8</v>
      </c>
    </row>
    <row r="33" spans="1:9" ht="15" customHeight="1" x14ac:dyDescent="0.3">
      <c r="A33" s="11" t="s">
        <v>116</v>
      </c>
      <c r="B33" s="11" t="s">
        <v>129</v>
      </c>
      <c r="C33" s="11" t="s">
        <v>130</v>
      </c>
      <c r="D33" s="13" t="s">
        <v>47</v>
      </c>
      <c r="E33" s="11" t="s">
        <v>16</v>
      </c>
      <c r="F33" s="11" t="s">
        <v>58</v>
      </c>
      <c r="G33" s="11" t="s">
        <v>131</v>
      </c>
      <c r="H33" s="11" t="s">
        <v>132</v>
      </c>
      <c r="I33" s="11" t="s">
        <v>8</v>
      </c>
    </row>
    <row r="34" spans="1:9" ht="15" customHeight="1" x14ac:dyDescent="0.3">
      <c r="A34" s="11" t="s">
        <v>133</v>
      </c>
      <c r="B34" s="11" t="s">
        <v>134</v>
      </c>
      <c r="C34" s="11" t="s">
        <v>135</v>
      </c>
      <c r="D34" s="13" t="s">
        <v>47</v>
      </c>
      <c r="E34" s="11" t="s">
        <v>16</v>
      </c>
      <c r="F34" s="11" t="s">
        <v>48</v>
      </c>
      <c r="G34" s="11"/>
      <c r="H34" s="11" t="s">
        <v>136</v>
      </c>
      <c r="I34" s="11" t="s">
        <v>8</v>
      </c>
    </row>
    <row r="35" spans="1:9" ht="15" customHeight="1" x14ac:dyDescent="0.3">
      <c r="A35" s="11" t="s">
        <v>133</v>
      </c>
      <c r="B35" s="11" t="s">
        <v>137</v>
      </c>
      <c r="C35" s="11" t="s">
        <v>138</v>
      </c>
      <c r="D35" s="13" t="s">
        <v>47</v>
      </c>
      <c r="E35" s="11" t="s">
        <v>16</v>
      </c>
      <c r="F35" s="11" t="s">
        <v>58</v>
      </c>
      <c r="G35" s="11"/>
      <c r="H35" s="11"/>
      <c r="I35" s="11" t="s">
        <v>8</v>
      </c>
    </row>
    <row r="36" spans="1:9" ht="15" customHeight="1" x14ac:dyDescent="0.3">
      <c r="A36" s="11" t="s">
        <v>133</v>
      </c>
      <c r="B36" s="11" t="s">
        <v>139</v>
      </c>
      <c r="C36" s="11" t="s">
        <v>140</v>
      </c>
      <c r="D36" s="13" t="s">
        <v>47</v>
      </c>
      <c r="E36" s="11" t="s">
        <v>16</v>
      </c>
      <c r="F36" s="11" t="s">
        <v>58</v>
      </c>
      <c r="G36" s="11"/>
      <c r="H36" s="11"/>
      <c r="I36" s="11" t="s">
        <v>8</v>
      </c>
    </row>
    <row r="37" spans="1:9" ht="15" customHeight="1" x14ac:dyDescent="0.3">
      <c r="A37" s="11" t="s">
        <v>133</v>
      </c>
      <c r="B37" s="11" t="s">
        <v>141</v>
      </c>
      <c r="C37" s="11" t="s">
        <v>142</v>
      </c>
      <c r="D37" s="13" t="s">
        <v>47</v>
      </c>
      <c r="E37" s="11" t="s">
        <v>16</v>
      </c>
      <c r="F37" s="11" t="s">
        <v>82</v>
      </c>
      <c r="G37" s="11"/>
      <c r="H37" s="11"/>
      <c r="I37" s="11" t="s">
        <v>8</v>
      </c>
    </row>
    <row r="38" spans="1:9" ht="15" customHeight="1" x14ac:dyDescent="0.3">
      <c r="A38" s="11" t="s">
        <v>143</v>
      </c>
      <c r="B38" s="11" t="s">
        <v>144</v>
      </c>
      <c r="C38" s="11" t="s">
        <v>145</v>
      </c>
      <c r="D38" s="14" t="s">
        <v>146</v>
      </c>
      <c r="E38" s="11" t="s">
        <v>16</v>
      </c>
      <c r="F38" s="11" t="s">
        <v>58</v>
      </c>
      <c r="G38" s="11"/>
      <c r="H38" s="11"/>
      <c r="I38" s="11" t="s">
        <v>8</v>
      </c>
    </row>
    <row r="39" spans="1:9" ht="15" customHeight="1" x14ac:dyDescent="0.3">
      <c r="A39" s="11" t="s">
        <v>143</v>
      </c>
      <c r="B39" s="11" t="s">
        <v>147</v>
      </c>
      <c r="C39" s="11" t="s">
        <v>148</v>
      </c>
      <c r="D39" s="14" t="s">
        <v>146</v>
      </c>
      <c r="E39" s="11" t="s">
        <v>16</v>
      </c>
      <c r="F39" s="11" t="s">
        <v>82</v>
      </c>
      <c r="G39" s="11"/>
      <c r="H39" s="11"/>
      <c r="I39" s="11" t="s">
        <v>8</v>
      </c>
    </row>
    <row r="40" spans="1:9" ht="15" customHeight="1" x14ac:dyDescent="0.3">
      <c r="A40" s="11" t="s">
        <v>143</v>
      </c>
      <c r="B40" s="11" t="s">
        <v>149</v>
      </c>
      <c r="C40" s="11" t="s">
        <v>150</v>
      </c>
      <c r="D40" s="14" t="s">
        <v>146</v>
      </c>
      <c r="E40" s="11" t="s">
        <v>16</v>
      </c>
      <c r="F40" s="11" t="s">
        <v>58</v>
      </c>
      <c r="G40" s="11"/>
      <c r="H40" s="11"/>
      <c r="I40" s="11" t="s">
        <v>8</v>
      </c>
    </row>
    <row r="41" spans="1:9" ht="15" customHeight="1" x14ac:dyDescent="0.3">
      <c r="A41" s="11" t="s">
        <v>143</v>
      </c>
      <c r="B41" s="11" t="s">
        <v>151</v>
      </c>
      <c r="C41" s="11" t="s">
        <v>152</v>
      </c>
      <c r="D41" s="14" t="s">
        <v>146</v>
      </c>
      <c r="E41" s="11" t="s">
        <v>16</v>
      </c>
      <c r="F41" s="11" t="s">
        <v>82</v>
      </c>
      <c r="G41" s="11"/>
      <c r="H41" s="11"/>
      <c r="I41" s="11" t="s">
        <v>8</v>
      </c>
    </row>
    <row r="42" spans="1:9" ht="23.25" customHeight="1" x14ac:dyDescent="0.3">
      <c r="A42" s="11" t="s">
        <v>153</v>
      </c>
      <c r="B42" s="11" t="s">
        <v>154</v>
      </c>
      <c r="C42" s="11" t="s">
        <v>155</v>
      </c>
      <c r="D42" s="14" t="s">
        <v>146</v>
      </c>
      <c r="E42" s="11" t="s">
        <v>14</v>
      </c>
      <c r="F42" s="11" t="s">
        <v>48</v>
      </c>
      <c r="G42" s="11"/>
      <c r="H42" s="11"/>
      <c r="I42" s="11" t="s">
        <v>8</v>
      </c>
    </row>
    <row r="43" spans="1:9" ht="15" customHeight="1" x14ac:dyDescent="0.3">
      <c r="A43" s="11" t="s">
        <v>153</v>
      </c>
      <c r="B43" s="11" t="s">
        <v>156</v>
      </c>
      <c r="C43" s="11" t="s">
        <v>157</v>
      </c>
      <c r="D43" s="14" t="s">
        <v>146</v>
      </c>
      <c r="E43" s="11" t="s">
        <v>16</v>
      </c>
      <c r="F43" s="11" t="s">
        <v>58</v>
      </c>
      <c r="G43" s="11"/>
      <c r="H43" s="11"/>
      <c r="I43" s="11" t="s">
        <v>8</v>
      </c>
    </row>
    <row r="44" spans="1:9" ht="15" customHeight="1" x14ac:dyDescent="0.3">
      <c r="A44" s="11" t="s">
        <v>153</v>
      </c>
      <c r="B44" s="11" t="s">
        <v>158</v>
      </c>
      <c r="C44" s="11" t="s">
        <v>159</v>
      </c>
      <c r="D44" s="14" t="s">
        <v>146</v>
      </c>
      <c r="E44" s="11" t="s">
        <v>16</v>
      </c>
      <c r="F44" s="11" t="s">
        <v>58</v>
      </c>
      <c r="G44" s="11"/>
      <c r="H44" s="11"/>
      <c r="I44" s="11" t="s">
        <v>8</v>
      </c>
    </row>
    <row r="45" spans="1:9" ht="15" customHeight="1" x14ac:dyDescent="0.3">
      <c r="A45" s="11" t="s">
        <v>153</v>
      </c>
      <c r="B45" s="11" t="s">
        <v>160</v>
      </c>
      <c r="C45" s="11" t="s">
        <v>161</v>
      </c>
      <c r="D45" s="14" t="s">
        <v>146</v>
      </c>
      <c r="E45" s="11" t="s">
        <v>16</v>
      </c>
      <c r="F45" s="11" t="s">
        <v>82</v>
      </c>
      <c r="G45" s="11"/>
      <c r="H45" s="11"/>
      <c r="I45" s="11" t="s">
        <v>8</v>
      </c>
    </row>
    <row r="46" spans="1:9" ht="23.25" customHeight="1" x14ac:dyDescent="0.3">
      <c r="A46" s="11" t="s">
        <v>153</v>
      </c>
      <c r="B46" s="11" t="s">
        <v>162</v>
      </c>
      <c r="C46" s="11" t="s">
        <v>163</v>
      </c>
      <c r="D46" s="14" t="s">
        <v>146</v>
      </c>
      <c r="E46" s="11" t="s">
        <v>164</v>
      </c>
      <c r="F46" s="11" t="s">
        <v>82</v>
      </c>
      <c r="G46" s="11"/>
      <c r="H46" s="11"/>
      <c r="I46" s="11" t="s">
        <v>8</v>
      </c>
    </row>
    <row r="47" spans="1:9" ht="15" customHeight="1" x14ac:dyDescent="0.3">
      <c r="A47" s="11" t="s">
        <v>165</v>
      </c>
      <c r="B47" s="11" t="s">
        <v>166</v>
      </c>
      <c r="C47" s="11" t="s">
        <v>167</v>
      </c>
      <c r="D47" s="14" t="s">
        <v>146</v>
      </c>
      <c r="E47" s="11" t="s">
        <v>18</v>
      </c>
      <c r="F47" s="11" t="s">
        <v>58</v>
      </c>
      <c r="G47" s="11"/>
      <c r="H47" s="11"/>
      <c r="I47" s="11" t="s">
        <v>8</v>
      </c>
    </row>
    <row r="48" spans="1:9" ht="15" customHeight="1" x14ac:dyDescent="0.3">
      <c r="A48" s="11" t="s">
        <v>165</v>
      </c>
      <c r="B48" s="11" t="s">
        <v>168</v>
      </c>
      <c r="C48" s="11" t="s">
        <v>169</v>
      </c>
      <c r="D48" s="14" t="s">
        <v>146</v>
      </c>
      <c r="E48" s="11" t="s">
        <v>14</v>
      </c>
      <c r="F48" s="11" t="s">
        <v>82</v>
      </c>
      <c r="G48" s="11"/>
      <c r="H48" s="11"/>
      <c r="I48" s="11" t="s">
        <v>8</v>
      </c>
    </row>
    <row r="49" spans="1:9" ht="15" customHeight="1" x14ac:dyDescent="0.3">
      <c r="A49" s="11" t="s">
        <v>165</v>
      </c>
      <c r="B49" s="11" t="s">
        <v>170</v>
      </c>
      <c r="C49" s="11" t="s">
        <v>171</v>
      </c>
      <c r="D49" s="14" t="s">
        <v>146</v>
      </c>
      <c r="E49" s="11" t="s">
        <v>14</v>
      </c>
      <c r="F49" s="11" t="s">
        <v>82</v>
      </c>
      <c r="G49" s="11"/>
      <c r="H49" s="11"/>
      <c r="I49" s="11" t="s">
        <v>8</v>
      </c>
    </row>
    <row r="50" spans="1:9" ht="23.25" customHeight="1" x14ac:dyDescent="0.3">
      <c r="A50" s="11" t="s">
        <v>165</v>
      </c>
      <c r="B50" s="11" t="s">
        <v>172</v>
      </c>
      <c r="C50" s="11" t="s">
        <v>173</v>
      </c>
      <c r="D50" s="14" t="s">
        <v>146</v>
      </c>
      <c r="E50" s="11" t="s">
        <v>16</v>
      </c>
      <c r="F50" s="11" t="s">
        <v>48</v>
      </c>
      <c r="G50" s="11" t="s">
        <v>174</v>
      </c>
      <c r="H50" s="11"/>
      <c r="I50" s="11" t="s">
        <v>8</v>
      </c>
    </row>
    <row r="51" spans="1:9" ht="23.25" customHeight="1" x14ac:dyDescent="0.3">
      <c r="A51" s="11" t="s">
        <v>165</v>
      </c>
      <c r="B51" s="11" t="s">
        <v>175</v>
      </c>
      <c r="C51" s="11" t="s">
        <v>176</v>
      </c>
      <c r="D51" s="14" t="s">
        <v>146</v>
      </c>
      <c r="E51" s="11" t="s">
        <v>16</v>
      </c>
      <c r="F51" s="11" t="s">
        <v>58</v>
      </c>
      <c r="G51" s="11" t="s">
        <v>177</v>
      </c>
      <c r="H51" s="11"/>
      <c r="I51" s="11" t="s">
        <v>8</v>
      </c>
    </row>
    <row r="52" spans="1:9" ht="23.25" customHeight="1" x14ac:dyDescent="0.3">
      <c r="A52" s="11" t="s">
        <v>165</v>
      </c>
      <c r="B52" s="11" t="s">
        <v>178</v>
      </c>
      <c r="C52" s="11" t="s">
        <v>179</v>
      </c>
      <c r="D52" s="14" t="s">
        <v>146</v>
      </c>
      <c r="E52" s="11" t="s">
        <v>16</v>
      </c>
      <c r="F52" s="11" t="s">
        <v>58</v>
      </c>
      <c r="G52" s="11" t="s">
        <v>180</v>
      </c>
      <c r="H52" s="11"/>
      <c r="I52" s="11" t="s">
        <v>8</v>
      </c>
    </row>
    <row r="53" spans="1:9" ht="15" customHeight="1" x14ac:dyDescent="0.3">
      <c r="A53" s="11" t="s">
        <v>181</v>
      </c>
      <c r="B53" s="11" t="s">
        <v>182</v>
      </c>
      <c r="C53" s="11" t="s">
        <v>183</v>
      </c>
      <c r="D53" s="14" t="s">
        <v>146</v>
      </c>
      <c r="E53" s="11" t="s">
        <v>16</v>
      </c>
      <c r="F53" s="11" t="s">
        <v>48</v>
      </c>
      <c r="G53" s="11"/>
      <c r="H53" s="11"/>
      <c r="I53" s="11" t="s">
        <v>8</v>
      </c>
    </row>
    <row r="54" spans="1:9" ht="15" customHeight="1" x14ac:dyDescent="0.3">
      <c r="A54" s="11" t="s">
        <v>181</v>
      </c>
      <c r="B54" s="11" t="s">
        <v>184</v>
      </c>
      <c r="C54" s="11" t="s">
        <v>185</v>
      </c>
      <c r="D54" s="14" t="s">
        <v>146</v>
      </c>
      <c r="E54" s="11" t="s">
        <v>18</v>
      </c>
      <c r="F54" s="11" t="s">
        <v>58</v>
      </c>
      <c r="G54" s="11"/>
      <c r="H54" s="11"/>
      <c r="I54" s="11" t="s">
        <v>8</v>
      </c>
    </row>
    <row r="55" spans="1:9" ht="15" customHeight="1" x14ac:dyDescent="0.3">
      <c r="A55" s="11" t="s">
        <v>181</v>
      </c>
      <c r="B55" s="11" t="s">
        <v>186</v>
      </c>
      <c r="C55" s="11" t="s">
        <v>187</v>
      </c>
      <c r="D55" s="14" t="s">
        <v>146</v>
      </c>
      <c r="E55" s="11" t="s">
        <v>16</v>
      </c>
      <c r="F55" s="11" t="s">
        <v>58</v>
      </c>
      <c r="G55" s="11"/>
      <c r="H55" s="11"/>
      <c r="I55" s="11" t="s">
        <v>8</v>
      </c>
    </row>
    <row r="56" spans="1:9" ht="15" customHeight="1" x14ac:dyDescent="0.3">
      <c r="A56" s="11" t="s">
        <v>181</v>
      </c>
      <c r="B56" s="11" t="s">
        <v>188</v>
      </c>
      <c r="C56" s="11" t="s">
        <v>189</v>
      </c>
      <c r="D56" s="14" t="s">
        <v>146</v>
      </c>
      <c r="E56" s="11" t="s">
        <v>18</v>
      </c>
      <c r="F56" s="11" t="s">
        <v>58</v>
      </c>
      <c r="G56" s="11"/>
      <c r="H56" s="11"/>
      <c r="I56" s="11" t="s">
        <v>8</v>
      </c>
    </row>
    <row r="57" spans="1:9" ht="15" customHeight="1" x14ac:dyDescent="0.3">
      <c r="A57" s="11" t="s">
        <v>181</v>
      </c>
      <c r="B57" s="11" t="s">
        <v>190</v>
      </c>
      <c r="C57" s="11" t="s">
        <v>191</v>
      </c>
      <c r="D57" s="14" t="s">
        <v>146</v>
      </c>
      <c r="E57" s="11" t="s">
        <v>18</v>
      </c>
      <c r="F57" s="11" t="s">
        <v>58</v>
      </c>
      <c r="G57" s="11"/>
      <c r="H57" s="11"/>
      <c r="I57" s="11" t="s">
        <v>8</v>
      </c>
    </row>
    <row r="58" spans="1:9" ht="23.25" customHeight="1" x14ac:dyDescent="0.3">
      <c r="A58" s="11" t="s">
        <v>192</v>
      </c>
      <c r="B58" s="11" t="s">
        <v>193</v>
      </c>
      <c r="C58" s="11" t="s">
        <v>194</v>
      </c>
      <c r="D58" s="14" t="s">
        <v>146</v>
      </c>
      <c r="E58" s="11" t="s">
        <v>195</v>
      </c>
      <c r="F58" s="11" t="s">
        <v>48</v>
      </c>
      <c r="G58" s="11"/>
      <c r="H58" s="11" t="s">
        <v>196</v>
      </c>
      <c r="I58" s="11" t="s">
        <v>8</v>
      </c>
    </row>
    <row r="59" spans="1:9" ht="15" customHeight="1" x14ac:dyDescent="0.3">
      <c r="A59" s="11" t="s">
        <v>192</v>
      </c>
      <c r="B59" s="11" t="s">
        <v>197</v>
      </c>
      <c r="C59" s="11" t="s">
        <v>198</v>
      </c>
      <c r="D59" s="14" t="s">
        <v>146</v>
      </c>
      <c r="E59" s="11" t="s">
        <v>18</v>
      </c>
      <c r="F59" s="11" t="s">
        <v>58</v>
      </c>
      <c r="G59" s="11"/>
      <c r="H59" s="11"/>
      <c r="I59" s="11" t="s">
        <v>8</v>
      </c>
    </row>
    <row r="60" spans="1:9" ht="23.25" customHeight="1" x14ac:dyDescent="0.3">
      <c r="A60" s="11" t="s">
        <v>192</v>
      </c>
      <c r="B60" s="11" t="s">
        <v>199</v>
      </c>
      <c r="C60" s="11" t="s">
        <v>200</v>
      </c>
      <c r="D60" s="14" t="s">
        <v>146</v>
      </c>
      <c r="E60" s="11" t="s">
        <v>18</v>
      </c>
      <c r="F60" s="11" t="s">
        <v>58</v>
      </c>
      <c r="G60" s="11"/>
      <c r="H60" s="11"/>
      <c r="I60" s="11" t="s">
        <v>8</v>
      </c>
    </row>
    <row r="61" spans="1:9" ht="15" customHeight="1" x14ac:dyDescent="0.3">
      <c r="A61" s="11" t="s">
        <v>192</v>
      </c>
      <c r="B61" s="11" t="s">
        <v>201</v>
      </c>
      <c r="C61" s="11" t="s">
        <v>202</v>
      </c>
      <c r="D61" s="14" t="s">
        <v>146</v>
      </c>
      <c r="E61" s="11" t="s">
        <v>18</v>
      </c>
      <c r="F61" s="11" t="s">
        <v>82</v>
      </c>
      <c r="G61" s="11"/>
      <c r="H61" s="11"/>
      <c r="I61" s="11" t="s">
        <v>8</v>
      </c>
    </row>
    <row r="62" spans="1:9" ht="15" customHeight="1" x14ac:dyDescent="0.3">
      <c r="A62" s="11" t="s">
        <v>192</v>
      </c>
      <c r="B62" s="11" t="s">
        <v>203</v>
      </c>
      <c r="C62" s="11" t="s">
        <v>204</v>
      </c>
      <c r="D62" s="14" t="s">
        <v>146</v>
      </c>
      <c r="E62" s="11" t="s">
        <v>18</v>
      </c>
      <c r="F62" s="11" t="s">
        <v>58</v>
      </c>
      <c r="G62" s="11"/>
      <c r="H62" s="11"/>
      <c r="I62" s="11" t="s">
        <v>8</v>
      </c>
    </row>
    <row r="63" spans="1:9" ht="15" customHeight="1" x14ac:dyDescent="0.3">
      <c r="A63" s="11" t="s">
        <v>205</v>
      </c>
      <c r="B63" s="11" t="s">
        <v>206</v>
      </c>
      <c r="C63" s="11" t="s">
        <v>207</v>
      </c>
      <c r="D63" s="14" t="s">
        <v>146</v>
      </c>
      <c r="E63" s="11" t="s">
        <v>18</v>
      </c>
      <c r="F63" s="11" t="s">
        <v>58</v>
      </c>
      <c r="G63" s="11" t="s">
        <v>208</v>
      </c>
      <c r="H63" s="11"/>
      <c r="I63" s="11" t="s">
        <v>8</v>
      </c>
    </row>
    <row r="64" spans="1:9" ht="15" customHeight="1" x14ac:dyDescent="0.3">
      <c r="A64" s="11" t="s">
        <v>205</v>
      </c>
      <c r="B64" s="11" t="s">
        <v>209</v>
      </c>
      <c r="C64" s="11" t="s">
        <v>210</v>
      </c>
      <c r="D64" s="14" t="s">
        <v>146</v>
      </c>
      <c r="E64" s="11" t="s">
        <v>16</v>
      </c>
      <c r="F64" s="11" t="s">
        <v>58</v>
      </c>
      <c r="G64" s="11"/>
      <c r="H64" s="11"/>
      <c r="I64" s="11" t="s">
        <v>8</v>
      </c>
    </row>
    <row r="65" spans="1:9" ht="15" customHeight="1" x14ac:dyDescent="0.3">
      <c r="A65" s="11" t="s">
        <v>205</v>
      </c>
      <c r="B65" s="11" t="s">
        <v>211</v>
      </c>
      <c r="C65" s="11" t="s">
        <v>212</v>
      </c>
      <c r="D65" s="14" t="s">
        <v>146</v>
      </c>
      <c r="E65" s="11" t="s">
        <v>16</v>
      </c>
      <c r="F65" s="11" t="s">
        <v>58</v>
      </c>
      <c r="G65" s="11"/>
      <c r="H65" s="11"/>
      <c r="I65" s="11" t="s">
        <v>8</v>
      </c>
    </row>
    <row r="66" spans="1:9" ht="15" customHeight="1" x14ac:dyDescent="0.3">
      <c r="A66" s="11" t="s">
        <v>205</v>
      </c>
      <c r="B66" s="11" t="s">
        <v>213</v>
      </c>
      <c r="C66" s="11" t="s">
        <v>214</v>
      </c>
      <c r="D66" s="14" t="s">
        <v>146</v>
      </c>
      <c r="E66" s="11" t="s">
        <v>16</v>
      </c>
      <c r="F66" s="11" t="s">
        <v>58</v>
      </c>
      <c r="G66" s="11"/>
      <c r="H66" s="11"/>
      <c r="I66" s="11" t="s">
        <v>8</v>
      </c>
    </row>
    <row r="67" spans="1:9" ht="15" customHeight="1" x14ac:dyDescent="0.3">
      <c r="A67" s="11" t="s">
        <v>205</v>
      </c>
      <c r="B67" s="11" t="s">
        <v>215</v>
      </c>
      <c r="C67" s="11" t="s">
        <v>216</v>
      </c>
      <c r="D67" s="14" t="s">
        <v>146</v>
      </c>
      <c r="E67" s="11" t="s">
        <v>18</v>
      </c>
      <c r="F67" s="11" t="s">
        <v>82</v>
      </c>
      <c r="G67" s="11" t="s">
        <v>217</v>
      </c>
      <c r="H67" s="11"/>
      <c r="I67" s="11" t="s">
        <v>8</v>
      </c>
    </row>
    <row r="68" spans="1:9" ht="23.25" customHeight="1" x14ac:dyDescent="0.3">
      <c r="A68" s="11" t="s">
        <v>218</v>
      </c>
      <c r="B68" s="11" t="s">
        <v>219</v>
      </c>
      <c r="C68" s="11" t="s">
        <v>220</v>
      </c>
      <c r="D68" s="13" t="s">
        <v>47</v>
      </c>
      <c r="E68" s="11" t="s">
        <v>18</v>
      </c>
      <c r="F68" s="11" t="s">
        <v>58</v>
      </c>
      <c r="G68" s="11" t="s">
        <v>221</v>
      </c>
      <c r="H68" s="11"/>
      <c r="I68" s="11" t="s">
        <v>8</v>
      </c>
    </row>
    <row r="69" spans="1:9" ht="23.25" customHeight="1" x14ac:dyDescent="0.3">
      <c r="A69" s="11" t="s">
        <v>218</v>
      </c>
      <c r="B69" s="11" t="s">
        <v>222</v>
      </c>
      <c r="C69" s="11" t="s">
        <v>223</v>
      </c>
      <c r="D69" s="12" t="s">
        <v>69</v>
      </c>
      <c r="E69" s="11" t="s">
        <v>16</v>
      </c>
      <c r="F69" s="11" t="s">
        <v>48</v>
      </c>
      <c r="G69" s="11" t="s">
        <v>224</v>
      </c>
      <c r="H69" s="11" t="s">
        <v>225</v>
      </c>
      <c r="I69" s="11" t="s">
        <v>8</v>
      </c>
    </row>
    <row r="70" spans="1:9" ht="23.25" customHeight="1" x14ac:dyDescent="0.3">
      <c r="A70" s="11" t="s">
        <v>218</v>
      </c>
      <c r="B70" s="11" t="s">
        <v>226</v>
      </c>
      <c r="C70" s="11" t="s">
        <v>227</v>
      </c>
      <c r="D70" s="12" t="s">
        <v>42</v>
      </c>
      <c r="E70" s="11" t="s">
        <v>18</v>
      </c>
      <c r="F70" s="11" t="s">
        <v>48</v>
      </c>
      <c r="G70" s="11"/>
      <c r="H70" s="11" t="s">
        <v>228</v>
      </c>
      <c r="I70" s="11" t="s">
        <v>8</v>
      </c>
    </row>
  </sheetData>
  <autoFilter ref="A1:I70" xr:uid="{00000000-0009-0000-0000-000001000000}"/>
  <dataValidations count="1">
    <dataValidation type="list" sqref="I2:I70" xr:uid="{00000000-0002-0000-01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Sreenanda T</cp:lastModifiedBy>
  <cp:revision>0</cp:revision>
  <dcterms:created xsi:type="dcterms:W3CDTF">2026-08-19T11:06:31Z</dcterms:created>
  <dcterms:modified xsi:type="dcterms:W3CDTF">2026-08-19T15:42:58Z</dcterms:modified>
  <dc:language>en-US</dc:language>
</cp:coreProperties>
</file>